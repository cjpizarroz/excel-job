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hidePivotFieldList="1" defaultThemeVersion="124226"/>
  <bookViews>
    <workbookView xWindow="120" yWindow="45" windowWidth="20115" windowHeight="7995"/>
  </bookViews>
  <sheets>
    <sheet name="TOTAL" sheetId="3" r:id="rId1"/>
    <sheet name="C1" sheetId="2" r:id="rId2"/>
    <sheet name="C2" sheetId="8" r:id="rId3"/>
    <sheet name="C3" sheetId="9" r:id="rId4"/>
    <sheet name="Dibujo 1" sheetId="1" r:id="rId5"/>
    <sheet name="Dibujo 2" sheetId="4" r:id="rId6"/>
    <sheet name="Dibujo 3" sheetId="5" r:id="rId7"/>
    <sheet name="Dibujo 4 " sheetId="10" r:id="rId8"/>
    <sheet name="Pallet" sheetId="7" r:id="rId9"/>
    <sheet name="MENU" sheetId="6" r:id="rId10"/>
  </sheets>
  <externalReferences>
    <externalReference r:id="rId11"/>
  </externalReferences>
  <definedNames>
    <definedName name="_xlnm._FilterDatabase" localSheetId="1" hidden="1">'C1'!$C$5:$C$5022</definedName>
    <definedName name="_xlnm._FilterDatabase" localSheetId="2" hidden="1">'C2'!$E$5:$E$19</definedName>
    <definedName name="_xlnm._FilterDatabase" localSheetId="3" hidden="1">'C3'!$E$5:$E$19</definedName>
    <definedName name="_xlnm._FilterDatabase" localSheetId="8" hidden="1">Pallet!$B$5:$F$3000</definedName>
    <definedName name="_xlnm._FilterDatabase" localSheetId="0" hidden="1">TOTAL!$C$5:$C$1094</definedName>
    <definedName name="_xlnm.Extract" localSheetId="1">'C1'!$G$3</definedName>
    <definedName name="_xlnm.Extract" localSheetId="2">'C2'!$G$6</definedName>
    <definedName name="_xlnm.Extract" localSheetId="3">'C3'!$G$6</definedName>
    <definedName name="_xlnm.Print_Area" localSheetId="4">'Dibujo 1'!$F$9:$Q$43</definedName>
    <definedName name="_xlnm.Print_Area" localSheetId="6">'Dibujo 3'!$A$1:$K$57</definedName>
    <definedName name="_xlnm.Criteria" localSheetId="1">'C1'!$C$2:$C$3</definedName>
    <definedName name="_xlnm.Criteria" localSheetId="2">'C2'!$F$2:$F$3</definedName>
    <definedName name="_xlnm.Criteria" localSheetId="3">'C3'!$F$2:$F$3</definedName>
    <definedName name="_xlnm.Criteria" localSheetId="8">Pallet!$B$2:$B$3</definedName>
    <definedName name="_xlnm.Criteria" localSheetId="0">TOTAL!$C$2:$C$3</definedName>
  </definedNames>
  <calcPr calcId="125725"/>
</workbook>
</file>

<file path=xl/calcChain.xml><?xml version="1.0" encoding="utf-8"?>
<calcChain xmlns="http://schemas.openxmlformats.org/spreadsheetml/2006/main">
  <c r="B3" i="7"/>
  <c r="E1" i="2"/>
  <c r="F3" s="1"/>
  <c r="E13"/>
  <c r="E14" s="1"/>
  <c r="E15" s="1"/>
  <c r="E16" s="1"/>
  <c r="E17" s="1"/>
  <c r="C33"/>
  <c r="C32"/>
  <c r="C31"/>
  <c r="C30"/>
  <c r="C29"/>
  <c r="C28"/>
  <c r="C27"/>
  <c r="C26"/>
  <c r="C25"/>
  <c r="C24"/>
  <c r="C23"/>
  <c r="C22"/>
  <c r="C21"/>
  <c r="C20"/>
  <c r="C19"/>
  <c r="C18"/>
  <c r="K3" i="3"/>
  <c r="J3"/>
  <c r="G1094"/>
  <c r="F1094"/>
  <c r="E1094"/>
  <c r="G1093"/>
  <c r="F1093"/>
  <c r="E1093"/>
  <c r="G1092"/>
  <c r="F1092"/>
  <c r="E1092"/>
  <c r="G1091"/>
  <c r="F1091"/>
  <c r="E1091"/>
  <c r="G1090"/>
  <c r="F1090"/>
  <c r="E1090"/>
  <c r="G1089"/>
  <c r="F1089"/>
  <c r="E1089"/>
  <c r="G1088"/>
  <c r="F1088"/>
  <c r="E1088"/>
  <c r="G1087"/>
  <c r="F1087"/>
  <c r="E1087"/>
  <c r="G1086"/>
  <c r="F1086"/>
  <c r="E1086"/>
  <c r="G1085"/>
  <c r="F1085"/>
  <c r="E1085"/>
  <c r="G1084"/>
  <c r="F1084"/>
  <c r="E1084"/>
  <c r="G1083"/>
  <c r="F1083"/>
  <c r="E1083"/>
  <c r="G1082"/>
  <c r="F1082"/>
  <c r="E1082"/>
  <c r="G1081"/>
  <c r="F1081"/>
  <c r="E1081"/>
  <c r="G1080"/>
  <c r="F1080"/>
  <c r="E1080"/>
  <c r="G1079"/>
  <c r="F1079"/>
  <c r="E1079"/>
  <c r="G1078"/>
  <c r="F1078"/>
  <c r="E1078"/>
  <c r="G1077"/>
  <c r="F1077"/>
  <c r="E1077"/>
  <c r="G1076"/>
  <c r="F1076"/>
  <c r="E1076"/>
  <c r="G1075"/>
  <c r="F1075"/>
  <c r="E1075"/>
  <c r="G1074"/>
  <c r="F1074"/>
  <c r="E1074"/>
  <c r="G1073"/>
  <c r="F1073"/>
  <c r="E1073"/>
  <c r="G1072"/>
  <c r="F1072"/>
  <c r="E1072"/>
  <c r="G1071"/>
  <c r="F1071"/>
  <c r="E1071"/>
  <c r="G1070"/>
  <c r="F1070"/>
  <c r="E1070"/>
  <c r="G1069"/>
  <c r="F1069"/>
  <c r="E1069"/>
  <c r="G1068"/>
  <c r="F1068"/>
  <c r="E1068"/>
  <c r="G1067"/>
  <c r="F1067"/>
  <c r="E1067"/>
  <c r="G1066"/>
  <c r="F1066"/>
  <c r="E1066"/>
  <c r="G1065"/>
  <c r="F1065"/>
  <c r="E1065"/>
  <c r="G1064"/>
  <c r="F1064"/>
  <c r="E1064"/>
  <c r="G1063"/>
  <c r="F1063"/>
  <c r="E1063"/>
  <c r="G1062"/>
  <c r="F1062"/>
  <c r="E1062"/>
  <c r="G1061"/>
  <c r="F1061"/>
  <c r="E1061"/>
  <c r="G1060"/>
  <c r="F1060"/>
  <c r="E1060"/>
  <c r="G1059"/>
  <c r="F1059"/>
  <c r="E1059"/>
  <c r="G1058"/>
  <c r="F1058"/>
  <c r="E1058"/>
  <c r="G1057"/>
  <c r="F1057"/>
  <c r="E1057"/>
  <c r="G1056"/>
  <c r="F1056"/>
  <c r="E1056"/>
  <c r="G1055"/>
  <c r="F1055"/>
  <c r="E1055"/>
  <c r="G1054"/>
  <c r="F1054"/>
  <c r="E1054"/>
  <c r="G1053"/>
  <c r="F1053"/>
  <c r="E1053"/>
  <c r="G1052"/>
  <c r="F1052"/>
  <c r="E1052"/>
  <c r="G1051"/>
  <c r="F1051"/>
  <c r="E1051"/>
  <c r="G1050"/>
  <c r="F1050"/>
  <c r="E1050"/>
  <c r="G1049"/>
  <c r="F1049"/>
  <c r="E1049"/>
  <c r="G1048"/>
  <c r="F1048"/>
  <c r="E1048"/>
  <c r="G1047"/>
  <c r="F1047"/>
  <c r="E1047"/>
  <c r="G1046"/>
  <c r="F1046"/>
  <c r="E1046"/>
  <c r="G1045"/>
  <c r="F1045"/>
  <c r="E1045"/>
  <c r="G1044"/>
  <c r="F1044"/>
  <c r="E1044"/>
  <c r="G1043"/>
  <c r="F1043"/>
  <c r="E1043"/>
  <c r="G1042"/>
  <c r="F1042"/>
  <c r="E1042"/>
  <c r="G1041"/>
  <c r="F1041"/>
  <c r="E1041"/>
  <c r="G1040"/>
  <c r="F1040"/>
  <c r="E1040"/>
  <c r="G1039"/>
  <c r="F1039"/>
  <c r="E1039"/>
  <c r="G1038"/>
  <c r="F1038"/>
  <c r="E1038"/>
  <c r="G1037"/>
  <c r="F1037"/>
  <c r="E1037"/>
  <c r="G1036"/>
  <c r="F1036"/>
  <c r="E1036"/>
  <c r="G1035"/>
  <c r="F1035"/>
  <c r="E1035"/>
  <c r="G1034"/>
  <c r="F1034"/>
  <c r="E1034"/>
  <c r="G1033"/>
  <c r="F1033"/>
  <c r="E1033"/>
  <c r="G1032"/>
  <c r="F1032"/>
  <c r="E1032"/>
  <c r="G1031"/>
  <c r="F1031"/>
  <c r="E1031"/>
  <c r="G1030"/>
  <c r="F1030"/>
  <c r="E1030"/>
  <c r="G1029"/>
  <c r="F1029"/>
  <c r="E1029"/>
  <c r="G1028"/>
  <c r="F1028"/>
  <c r="E1028"/>
  <c r="G1027"/>
  <c r="F1027"/>
  <c r="E1027"/>
  <c r="G1026"/>
  <c r="F1026"/>
  <c r="E1026"/>
  <c r="G1025"/>
  <c r="F1025"/>
  <c r="E1025"/>
  <c r="G1024"/>
  <c r="F1024"/>
  <c r="E1024"/>
  <c r="G1023"/>
  <c r="F1023"/>
  <c r="E1023"/>
  <c r="G1022"/>
  <c r="F1022"/>
  <c r="E1022"/>
  <c r="G1021"/>
  <c r="F1021"/>
  <c r="E1021"/>
  <c r="G1020"/>
  <c r="F1020"/>
  <c r="E1020"/>
  <c r="G1019"/>
  <c r="F1019"/>
  <c r="E1019"/>
  <c r="G1018"/>
  <c r="F1018"/>
  <c r="E1018"/>
  <c r="G1017"/>
  <c r="F1017"/>
  <c r="E1017"/>
  <c r="G1016"/>
  <c r="F1016"/>
  <c r="E1016"/>
  <c r="G1015"/>
  <c r="F1015"/>
  <c r="E1015"/>
  <c r="G1014"/>
  <c r="F1014"/>
  <c r="E1014"/>
  <c r="G1013"/>
  <c r="F1013"/>
  <c r="E1013"/>
  <c r="G1012"/>
  <c r="F1012"/>
  <c r="E1012"/>
  <c r="G1011"/>
  <c r="F1011"/>
  <c r="E1011"/>
  <c r="G1010"/>
  <c r="F1010"/>
  <c r="E1010"/>
  <c r="G1009"/>
  <c r="F1009"/>
  <c r="E1009"/>
  <c r="G1008"/>
  <c r="F1008"/>
  <c r="E1008"/>
  <c r="G1007"/>
  <c r="F1007"/>
  <c r="E1007"/>
  <c r="G1006"/>
  <c r="F1006"/>
  <c r="E1006"/>
  <c r="G1005"/>
  <c r="F1005"/>
  <c r="E1005"/>
  <c r="G1004"/>
  <c r="F1004"/>
  <c r="E1004"/>
  <c r="G1003"/>
  <c r="F1003"/>
  <c r="E1003"/>
  <c r="G1002"/>
  <c r="F1002"/>
  <c r="E1002"/>
  <c r="G1001"/>
  <c r="F1001"/>
  <c r="E1001"/>
  <c r="G1000"/>
  <c r="F1000"/>
  <c r="E1000"/>
  <c r="G999"/>
  <c r="F999"/>
  <c r="E999"/>
  <c r="G998"/>
  <c r="F998"/>
  <c r="E998"/>
  <c r="G997"/>
  <c r="F997"/>
  <c r="E997"/>
  <c r="G996"/>
  <c r="F996"/>
  <c r="E996"/>
  <c r="G995"/>
  <c r="F995"/>
  <c r="E995"/>
  <c r="G994"/>
  <c r="F994"/>
  <c r="E994"/>
  <c r="G993"/>
  <c r="F993"/>
  <c r="E993"/>
  <c r="G992"/>
  <c r="F992"/>
  <c r="E992"/>
  <c r="G991"/>
  <c r="F991"/>
  <c r="E991"/>
  <c r="G990"/>
  <c r="F990"/>
  <c r="E990"/>
  <c r="G989"/>
  <c r="F989"/>
  <c r="E989"/>
  <c r="G988"/>
  <c r="F988"/>
  <c r="E988"/>
  <c r="G987"/>
  <c r="F987"/>
  <c r="E987"/>
  <c r="G986"/>
  <c r="F986"/>
  <c r="E986"/>
  <c r="G985"/>
  <c r="F985"/>
  <c r="E985"/>
  <c r="G984"/>
  <c r="F984"/>
  <c r="E984"/>
  <c r="G983"/>
  <c r="F983"/>
  <c r="E983"/>
  <c r="G982"/>
  <c r="F982"/>
  <c r="E982"/>
  <c r="G981"/>
  <c r="F981"/>
  <c r="E981"/>
  <c r="G980"/>
  <c r="F980"/>
  <c r="E980"/>
  <c r="G979"/>
  <c r="F979"/>
  <c r="E979"/>
  <c r="G978"/>
  <c r="F978"/>
  <c r="E978"/>
  <c r="G977"/>
  <c r="F977"/>
  <c r="E977"/>
  <c r="G976"/>
  <c r="F976"/>
  <c r="E976"/>
  <c r="G975"/>
  <c r="F975"/>
  <c r="E975"/>
  <c r="G974"/>
  <c r="F974"/>
  <c r="E974"/>
  <c r="G973"/>
  <c r="F973"/>
  <c r="E973"/>
  <c r="G972"/>
  <c r="F972"/>
  <c r="E972"/>
  <c r="G971"/>
  <c r="F971"/>
  <c r="E971"/>
  <c r="G970"/>
  <c r="F970"/>
  <c r="E970"/>
  <c r="G969"/>
  <c r="F969"/>
  <c r="E969"/>
  <c r="G968"/>
  <c r="F968"/>
  <c r="E968"/>
  <c r="G967"/>
  <c r="F967"/>
  <c r="E967"/>
  <c r="G966"/>
  <c r="F966"/>
  <c r="E966"/>
  <c r="G965"/>
  <c r="F965"/>
  <c r="E965"/>
  <c r="G964"/>
  <c r="F964"/>
  <c r="E964"/>
  <c r="G963"/>
  <c r="F963"/>
  <c r="E963"/>
  <c r="G962"/>
  <c r="F962"/>
  <c r="E962"/>
  <c r="G961"/>
  <c r="F961"/>
  <c r="E961"/>
  <c r="G960"/>
  <c r="F960"/>
  <c r="E960"/>
  <c r="G959"/>
  <c r="F959"/>
  <c r="E959"/>
  <c r="G958"/>
  <c r="F958"/>
  <c r="E958"/>
  <c r="G957"/>
  <c r="F957"/>
  <c r="E957"/>
  <c r="G956"/>
  <c r="F956"/>
  <c r="E956"/>
  <c r="G955"/>
  <c r="F955"/>
  <c r="E955"/>
  <c r="G954"/>
  <c r="F954"/>
  <c r="E954"/>
  <c r="G953"/>
  <c r="F953"/>
  <c r="E953"/>
  <c r="G952"/>
  <c r="F952"/>
  <c r="E952"/>
  <c r="G951"/>
  <c r="F951"/>
  <c r="E951"/>
  <c r="G950"/>
  <c r="F950"/>
  <c r="E950"/>
  <c r="G949"/>
  <c r="F949"/>
  <c r="E949"/>
  <c r="G948"/>
  <c r="F948"/>
  <c r="E948"/>
  <c r="G947"/>
  <c r="F947"/>
  <c r="E947"/>
  <c r="G946"/>
  <c r="F946"/>
  <c r="E946"/>
  <c r="G945"/>
  <c r="F945"/>
  <c r="E945"/>
  <c r="G944"/>
  <c r="F944"/>
  <c r="E944"/>
  <c r="G943"/>
  <c r="F943"/>
  <c r="E943"/>
  <c r="G942"/>
  <c r="F942"/>
  <c r="E942"/>
  <c r="G941"/>
  <c r="F941"/>
  <c r="E941"/>
  <c r="G940"/>
  <c r="F940"/>
  <c r="E940"/>
  <c r="G939"/>
  <c r="F939"/>
  <c r="E939"/>
  <c r="G938"/>
  <c r="F938"/>
  <c r="E938"/>
  <c r="G937"/>
  <c r="F937"/>
  <c r="E937"/>
  <c r="G936"/>
  <c r="F936"/>
  <c r="E936"/>
  <c r="G935"/>
  <c r="F935"/>
  <c r="E935"/>
  <c r="G934"/>
  <c r="F934"/>
  <c r="E934"/>
  <c r="G933"/>
  <c r="F933"/>
  <c r="E933"/>
  <c r="G932"/>
  <c r="F932"/>
  <c r="E932"/>
  <c r="G931"/>
  <c r="F931"/>
  <c r="E931"/>
  <c r="G930"/>
  <c r="F930"/>
  <c r="E930"/>
  <c r="G929"/>
  <c r="F929"/>
  <c r="E929"/>
  <c r="G928"/>
  <c r="F928"/>
  <c r="E928"/>
  <c r="G927"/>
  <c r="F927"/>
  <c r="E927"/>
  <c r="G926"/>
  <c r="F926"/>
  <c r="E926"/>
  <c r="G925"/>
  <c r="F925"/>
  <c r="E925"/>
  <c r="G924"/>
  <c r="F924"/>
  <c r="E924"/>
  <c r="G923"/>
  <c r="F923"/>
  <c r="E923"/>
  <c r="G922"/>
  <c r="F922"/>
  <c r="E922"/>
  <c r="G921"/>
  <c r="F921"/>
  <c r="E921"/>
  <c r="G920"/>
  <c r="F920"/>
  <c r="E920"/>
  <c r="G919"/>
  <c r="F919"/>
  <c r="E919"/>
  <c r="G918"/>
  <c r="F918"/>
  <c r="E918"/>
  <c r="G917"/>
  <c r="F917"/>
  <c r="E917"/>
  <c r="G916"/>
  <c r="F916"/>
  <c r="E916"/>
  <c r="G915"/>
  <c r="F915"/>
  <c r="E915"/>
  <c r="G914"/>
  <c r="F914"/>
  <c r="E914"/>
  <c r="G913"/>
  <c r="F913"/>
  <c r="E913"/>
  <c r="G912"/>
  <c r="F912"/>
  <c r="E912"/>
  <c r="G911"/>
  <c r="F911"/>
  <c r="E911"/>
  <c r="G910"/>
  <c r="F910"/>
  <c r="E910"/>
  <c r="G909"/>
  <c r="F909"/>
  <c r="E909"/>
  <c r="G908"/>
  <c r="F908"/>
  <c r="E908"/>
  <c r="G907"/>
  <c r="F907"/>
  <c r="E907"/>
  <c r="G906"/>
  <c r="F906"/>
  <c r="E906"/>
  <c r="G905"/>
  <c r="F905"/>
  <c r="E905"/>
  <c r="G904"/>
  <c r="F904"/>
  <c r="E904"/>
  <c r="G903"/>
  <c r="F903"/>
  <c r="E903"/>
  <c r="G902"/>
  <c r="F902"/>
  <c r="E902"/>
  <c r="G901"/>
  <c r="F901"/>
  <c r="E901"/>
  <c r="G900"/>
  <c r="F900"/>
  <c r="E900"/>
  <c r="G899"/>
  <c r="F899"/>
  <c r="E899"/>
  <c r="G898"/>
  <c r="F898"/>
  <c r="E898"/>
  <c r="G897"/>
  <c r="F897"/>
  <c r="E897"/>
  <c r="G896"/>
  <c r="F896"/>
  <c r="E896"/>
  <c r="G895"/>
  <c r="F895"/>
  <c r="E895"/>
  <c r="G894"/>
  <c r="F894"/>
  <c r="E894"/>
  <c r="G893"/>
  <c r="F893"/>
  <c r="E893"/>
  <c r="G892"/>
  <c r="F892"/>
  <c r="E892"/>
  <c r="G891"/>
  <c r="F891"/>
  <c r="E891"/>
  <c r="G890"/>
  <c r="F890"/>
  <c r="E890"/>
  <c r="G889"/>
  <c r="F889"/>
  <c r="E889"/>
  <c r="G888"/>
  <c r="F888"/>
  <c r="E888"/>
  <c r="G887"/>
  <c r="F887"/>
  <c r="E887"/>
  <c r="G886"/>
  <c r="F886"/>
  <c r="E886"/>
  <c r="G885"/>
  <c r="F885"/>
  <c r="E885"/>
  <c r="G884"/>
  <c r="F884"/>
  <c r="E884"/>
  <c r="G883"/>
  <c r="F883"/>
  <c r="E883"/>
  <c r="G882"/>
  <c r="F882"/>
  <c r="E882"/>
  <c r="G881"/>
  <c r="F881"/>
  <c r="E881"/>
  <c r="G880"/>
  <c r="F880"/>
  <c r="E880"/>
  <c r="G879"/>
  <c r="F879"/>
  <c r="E879"/>
  <c r="G878"/>
  <c r="F878"/>
  <c r="E878"/>
  <c r="G877"/>
  <c r="F877"/>
  <c r="E877"/>
  <c r="G876"/>
  <c r="F876"/>
  <c r="E876"/>
  <c r="G875"/>
  <c r="F875"/>
  <c r="E875"/>
  <c r="G874"/>
  <c r="F874"/>
  <c r="E874"/>
  <c r="G873"/>
  <c r="F873"/>
  <c r="E873"/>
  <c r="G872"/>
  <c r="F872"/>
  <c r="E872"/>
  <c r="G871"/>
  <c r="F871"/>
  <c r="E871"/>
  <c r="G870"/>
  <c r="F870"/>
  <c r="E870"/>
  <c r="G869"/>
  <c r="F869"/>
  <c r="E869"/>
  <c r="G868"/>
  <c r="F868"/>
  <c r="E868"/>
  <c r="G867"/>
  <c r="F867"/>
  <c r="E867"/>
  <c r="G866"/>
  <c r="F866"/>
  <c r="E866"/>
  <c r="G865"/>
  <c r="F865"/>
  <c r="E865"/>
  <c r="G864"/>
  <c r="F864"/>
  <c r="E864"/>
  <c r="G863"/>
  <c r="F863"/>
  <c r="E863"/>
  <c r="G862"/>
  <c r="F862"/>
  <c r="E862"/>
  <c r="G861"/>
  <c r="F861"/>
  <c r="E861"/>
  <c r="G860"/>
  <c r="F860"/>
  <c r="E860"/>
  <c r="G859"/>
  <c r="F859"/>
  <c r="E859"/>
  <c r="G858"/>
  <c r="F858"/>
  <c r="E858"/>
  <c r="G857"/>
  <c r="F857"/>
  <c r="E857"/>
  <c r="G856"/>
  <c r="F856"/>
  <c r="E856"/>
  <c r="G855"/>
  <c r="F855"/>
  <c r="E855"/>
  <c r="G854"/>
  <c r="F854"/>
  <c r="E854"/>
  <c r="G853"/>
  <c r="F853"/>
  <c r="E853"/>
  <c r="G852"/>
  <c r="F852"/>
  <c r="E852"/>
  <c r="G851"/>
  <c r="F851"/>
  <c r="E851"/>
  <c r="G850"/>
  <c r="F850"/>
  <c r="E850"/>
  <c r="G849"/>
  <c r="F849"/>
  <c r="E849"/>
  <c r="G848"/>
  <c r="F848"/>
  <c r="E848"/>
  <c r="G847"/>
  <c r="F847"/>
  <c r="E847"/>
  <c r="G846"/>
  <c r="F846"/>
  <c r="E846"/>
  <c r="G845"/>
  <c r="F845"/>
  <c r="E845"/>
  <c r="G844"/>
  <c r="F844"/>
  <c r="E844"/>
  <c r="G843"/>
  <c r="F843"/>
  <c r="E843"/>
  <c r="G842"/>
  <c r="F842"/>
  <c r="E842"/>
  <c r="G841"/>
  <c r="F841"/>
  <c r="E841"/>
  <c r="G840"/>
  <c r="F840"/>
  <c r="E840"/>
  <c r="G839"/>
  <c r="F839"/>
  <c r="E839"/>
  <c r="G838"/>
  <c r="F838"/>
  <c r="E838"/>
  <c r="G837"/>
  <c r="F837"/>
  <c r="E837"/>
  <c r="G836"/>
  <c r="F836"/>
  <c r="E836"/>
  <c r="G835"/>
  <c r="F835"/>
  <c r="E835"/>
  <c r="G834"/>
  <c r="F834"/>
  <c r="E834"/>
  <c r="G833"/>
  <c r="F833"/>
  <c r="E833"/>
  <c r="G832"/>
  <c r="F832"/>
  <c r="E832"/>
  <c r="G831"/>
  <c r="F831"/>
  <c r="E831"/>
  <c r="G830"/>
  <c r="F830"/>
  <c r="E830"/>
  <c r="G829"/>
  <c r="F829"/>
  <c r="E829"/>
  <c r="G828"/>
  <c r="F828"/>
  <c r="E828"/>
  <c r="G827"/>
  <c r="F827"/>
  <c r="E827"/>
  <c r="G826"/>
  <c r="F826"/>
  <c r="E826"/>
  <c r="G825"/>
  <c r="F825"/>
  <c r="E825"/>
  <c r="G824"/>
  <c r="F824"/>
  <c r="E824"/>
  <c r="G823"/>
  <c r="F823"/>
  <c r="E823"/>
  <c r="G822"/>
  <c r="F822"/>
  <c r="E822"/>
  <c r="G821"/>
  <c r="F821"/>
  <c r="E821"/>
  <c r="G820"/>
  <c r="F820"/>
  <c r="E820"/>
  <c r="G819"/>
  <c r="F819"/>
  <c r="E819"/>
  <c r="G818"/>
  <c r="F818"/>
  <c r="E818"/>
  <c r="G817"/>
  <c r="F817"/>
  <c r="E817"/>
  <c r="G816"/>
  <c r="F816"/>
  <c r="E816"/>
  <c r="G815"/>
  <c r="F815"/>
  <c r="E815"/>
  <c r="G814"/>
  <c r="F814"/>
  <c r="E814"/>
  <c r="G813"/>
  <c r="F813"/>
  <c r="E813"/>
  <c r="G812"/>
  <c r="F812"/>
  <c r="E812"/>
  <c r="G811"/>
  <c r="F811"/>
  <c r="E811"/>
  <c r="G810"/>
  <c r="F810"/>
  <c r="E810"/>
  <c r="G809"/>
  <c r="F809"/>
  <c r="E809"/>
  <c r="G808"/>
  <c r="F808"/>
  <c r="E808"/>
  <c r="G807"/>
  <c r="F807"/>
  <c r="E807"/>
  <c r="G806"/>
  <c r="F806"/>
  <c r="E806"/>
  <c r="G805"/>
  <c r="F805"/>
  <c r="E805"/>
  <c r="G804"/>
  <c r="F804"/>
  <c r="E804"/>
  <c r="G803"/>
  <c r="F803"/>
  <c r="E803"/>
  <c r="G802"/>
  <c r="F802"/>
  <c r="E802"/>
  <c r="G801"/>
  <c r="F801"/>
  <c r="E801"/>
  <c r="G800"/>
  <c r="F800"/>
  <c r="E800"/>
  <c r="G799"/>
  <c r="F799"/>
  <c r="E799"/>
  <c r="G798"/>
  <c r="F798"/>
  <c r="E798"/>
  <c r="G797"/>
  <c r="F797"/>
  <c r="E797"/>
  <c r="G796"/>
  <c r="F796"/>
  <c r="E796"/>
  <c r="G795"/>
  <c r="F795"/>
  <c r="E795"/>
  <c r="G794"/>
  <c r="F794"/>
  <c r="E794"/>
  <c r="G793"/>
  <c r="F793"/>
  <c r="E793"/>
  <c r="G792"/>
  <c r="F792"/>
  <c r="E792"/>
  <c r="G791"/>
  <c r="F791"/>
  <c r="E791"/>
  <c r="G790"/>
  <c r="F790"/>
  <c r="E790"/>
  <c r="G789"/>
  <c r="F789"/>
  <c r="E789"/>
  <c r="G788"/>
  <c r="F788"/>
  <c r="E788"/>
  <c r="G787"/>
  <c r="F787"/>
  <c r="E787"/>
  <c r="G786"/>
  <c r="F786"/>
  <c r="E786"/>
  <c r="G785"/>
  <c r="F785"/>
  <c r="E785"/>
  <c r="G784"/>
  <c r="F784"/>
  <c r="E784"/>
  <c r="G783"/>
  <c r="F783"/>
  <c r="E783"/>
  <c r="G782"/>
  <c r="F782"/>
  <c r="E782"/>
  <c r="G781"/>
  <c r="F781"/>
  <c r="E781"/>
  <c r="G780"/>
  <c r="F780"/>
  <c r="E780"/>
  <c r="G779"/>
  <c r="F779"/>
  <c r="E779"/>
  <c r="G778"/>
  <c r="F778"/>
  <c r="E778"/>
  <c r="G777"/>
  <c r="F777"/>
  <c r="E777"/>
  <c r="G776"/>
  <c r="F776"/>
  <c r="E776"/>
  <c r="G775"/>
  <c r="F775"/>
  <c r="E775"/>
  <c r="G774"/>
  <c r="F774"/>
  <c r="E774"/>
  <c r="G773"/>
  <c r="F773"/>
  <c r="E773"/>
  <c r="G772"/>
  <c r="F772"/>
  <c r="E772"/>
  <c r="G771"/>
  <c r="F771"/>
  <c r="E771"/>
  <c r="G770"/>
  <c r="F770"/>
  <c r="E770"/>
  <c r="G769"/>
  <c r="F769"/>
  <c r="E769"/>
  <c r="G768"/>
  <c r="F768"/>
  <c r="E768"/>
  <c r="G767"/>
  <c r="F767"/>
  <c r="E767"/>
  <c r="G766"/>
  <c r="F766"/>
  <c r="E766"/>
  <c r="G765"/>
  <c r="F765"/>
  <c r="E765"/>
  <c r="G764"/>
  <c r="F764"/>
  <c r="E764"/>
  <c r="G763"/>
  <c r="F763"/>
  <c r="E763"/>
  <c r="G762"/>
  <c r="F762"/>
  <c r="E762"/>
  <c r="G761"/>
  <c r="F761"/>
  <c r="E761"/>
  <c r="G760"/>
  <c r="F760"/>
  <c r="E760"/>
  <c r="G759"/>
  <c r="F759"/>
  <c r="E759"/>
  <c r="G758"/>
  <c r="F758"/>
  <c r="E758"/>
  <c r="G757"/>
  <c r="F757"/>
  <c r="E757"/>
  <c r="G756"/>
  <c r="F756"/>
  <c r="E756"/>
  <c r="G755"/>
  <c r="F755"/>
  <c r="E755"/>
  <c r="G754"/>
  <c r="F754"/>
  <c r="E754"/>
  <c r="G753"/>
  <c r="F753"/>
  <c r="E753"/>
  <c r="G752"/>
  <c r="F752"/>
  <c r="E752"/>
  <c r="G751"/>
  <c r="F751"/>
  <c r="E751"/>
  <c r="G750"/>
  <c r="F750"/>
  <c r="E750"/>
  <c r="G749"/>
  <c r="F749"/>
  <c r="E749"/>
  <c r="G748"/>
  <c r="F748"/>
  <c r="E748"/>
  <c r="G747"/>
  <c r="F747"/>
  <c r="E747"/>
  <c r="G746"/>
  <c r="F746"/>
  <c r="E746"/>
  <c r="G745"/>
  <c r="F745"/>
  <c r="E745"/>
  <c r="G744"/>
  <c r="F744"/>
  <c r="E744"/>
  <c r="G743"/>
  <c r="F743"/>
  <c r="E743"/>
  <c r="G742"/>
  <c r="F742"/>
  <c r="E742"/>
  <c r="G741"/>
  <c r="F741"/>
  <c r="E741"/>
  <c r="G740"/>
  <c r="F740"/>
  <c r="E740"/>
  <c r="G739"/>
  <c r="F739"/>
  <c r="E739"/>
  <c r="G738"/>
  <c r="F738"/>
  <c r="E738"/>
  <c r="G737"/>
  <c r="F737"/>
  <c r="E737"/>
  <c r="G736"/>
  <c r="F736"/>
  <c r="E736"/>
  <c r="G735"/>
  <c r="F735"/>
  <c r="E735"/>
  <c r="G734"/>
  <c r="F734"/>
  <c r="E734"/>
  <c r="G733"/>
  <c r="F733"/>
  <c r="E733"/>
  <c r="G732"/>
  <c r="F732"/>
  <c r="E732"/>
  <c r="G731"/>
  <c r="F731"/>
  <c r="E731"/>
  <c r="G730"/>
  <c r="F730"/>
  <c r="E730"/>
  <c r="G729"/>
  <c r="F729"/>
  <c r="E729"/>
  <c r="G728"/>
  <c r="F728"/>
  <c r="E728"/>
  <c r="G727"/>
  <c r="F727"/>
  <c r="E727"/>
  <c r="G726"/>
  <c r="F726"/>
  <c r="E726"/>
  <c r="G725"/>
  <c r="F725"/>
  <c r="E725"/>
  <c r="G724"/>
  <c r="F724"/>
  <c r="E724"/>
  <c r="G723"/>
  <c r="F723"/>
  <c r="E723"/>
  <c r="G722"/>
  <c r="F722"/>
  <c r="E722"/>
  <c r="G721"/>
  <c r="F721"/>
  <c r="E721"/>
  <c r="G720"/>
  <c r="F720"/>
  <c r="E720"/>
  <c r="G719"/>
  <c r="F719"/>
  <c r="E719"/>
  <c r="G718"/>
  <c r="F718"/>
  <c r="E718"/>
  <c r="G717"/>
  <c r="F717"/>
  <c r="E717"/>
  <c r="G716"/>
  <c r="F716"/>
  <c r="E716"/>
  <c r="G715"/>
  <c r="F715"/>
  <c r="E715"/>
  <c r="G714"/>
  <c r="F714"/>
  <c r="E714"/>
  <c r="G713"/>
  <c r="F713"/>
  <c r="E713"/>
  <c r="G712"/>
  <c r="F712"/>
  <c r="E712"/>
  <c r="G711"/>
  <c r="F711"/>
  <c r="E711"/>
  <c r="G710"/>
  <c r="F710"/>
  <c r="E710"/>
  <c r="G709"/>
  <c r="F709"/>
  <c r="E709"/>
  <c r="G708"/>
  <c r="F708"/>
  <c r="E708"/>
  <c r="G707"/>
  <c r="F707"/>
  <c r="E707"/>
  <c r="G706"/>
  <c r="F706"/>
  <c r="E706"/>
  <c r="G705"/>
  <c r="F705"/>
  <c r="E705"/>
  <c r="G704"/>
  <c r="F704"/>
  <c r="E704"/>
  <c r="G703"/>
  <c r="F703"/>
  <c r="E703"/>
  <c r="G702"/>
  <c r="F702"/>
  <c r="E702"/>
  <c r="G701"/>
  <c r="F701"/>
  <c r="E701"/>
  <c r="G700"/>
  <c r="F700"/>
  <c r="E700"/>
  <c r="G699"/>
  <c r="F699"/>
  <c r="E699"/>
  <c r="G698"/>
  <c r="F698"/>
  <c r="E698"/>
  <c r="G697"/>
  <c r="F697"/>
  <c r="E697"/>
  <c r="G696"/>
  <c r="F696"/>
  <c r="E696"/>
  <c r="G695"/>
  <c r="F695"/>
  <c r="E695"/>
  <c r="G694"/>
  <c r="F694"/>
  <c r="E694"/>
  <c r="G693"/>
  <c r="F693"/>
  <c r="E693"/>
  <c r="G692"/>
  <c r="F692"/>
  <c r="E692"/>
  <c r="G691"/>
  <c r="F691"/>
  <c r="E691"/>
  <c r="G690"/>
  <c r="F690"/>
  <c r="E690"/>
  <c r="G689"/>
  <c r="F689"/>
  <c r="E689"/>
  <c r="G688"/>
  <c r="F688"/>
  <c r="E688"/>
  <c r="G687"/>
  <c r="F687"/>
  <c r="E687"/>
  <c r="G686"/>
  <c r="F686"/>
  <c r="E686"/>
  <c r="G685"/>
  <c r="F685"/>
  <c r="E685"/>
  <c r="G684"/>
  <c r="F684"/>
  <c r="E684"/>
  <c r="G683"/>
  <c r="F683"/>
  <c r="E683"/>
  <c r="G682"/>
  <c r="F682"/>
  <c r="E682"/>
  <c r="G681"/>
  <c r="F681"/>
  <c r="E681"/>
  <c r="G680"/>
  <c r="F680"/>
  <c r="E680"/>
  <c r="G679"/>
  <c r="F679"/>
  <c r="E679"/>
  <c r="G678"/>
  <c r="F678"/>
  <c r="E678"/>
  <c r="G677"/>
  <c r="F677"/>
  <c r="E677"/>
  <c r="G676"/>
  <c r="F676"/>
  <c r="E676"/>
  <c r="G675"/>
  <c r="F675"/>
  <c r="E675"/>
  <c r="G674"/>
  <c r="F674"/>
  <c r="E674"/>
  <c r="G673"/>
  <c r="F673"/>
  <c r="E673"/>
  <c r="G672"/>
  <c r="F672"/>
  <c r="E672"/>
  <c r="G671"/>
  <c r="F671"/>
  <c r="E671"/>
  <c r="G670"/>
  <c r="F670"/>
  <c r="E670"/>
  <c r="G669"/>
  <c r="F669"/>
  <c r="E669"/>
  <c r="G668"/>
  <c r="F668"/>
  <c r="E668"/>
  <c r="G667"/>
  <c r="F667"/>
  <c r="E667"/>
  <c r="G666"/>
  <c r="F666"/>
  <c r="E666"/>
  <c r="G665"/>
  <c r="F665"/>
  <c r="E665"/>
  <c r="G664"/>
  <c r="F664"/>
  <c r="E664"/>
  <c r="G663"/>
  <c r="F663"/>
  <c r="E663"/>
  <c r="G662"/>
  <c r="F662"/>
  <c r="E662"/>
  <c r="G661"/>
  <c r="F661"/>
  <c r="E661"/>
  <c r="G660"/>
  <c r="F660"/>
  <c r="E660"/>
  <c r="G659"/>
  <c r="F659"/>
  <c r="E659"/>
  <c r="G658"/>
  <c r="F658"/>
  <c r="E658"/>
  <c r="G657"/>
  <c r="F657"/>
  <c r="E657"/>
  <c r="G656"/>
  <c r="F656"/>
  <c r="E656"/>
  <c r="G655"/>
  <c r="F655"/>
  <c r="E655"/>
  <c r="G654"/>
  <c r="F654"/>
  <c r="E654"/>
  <c r="G653"/>
  <c r="F653"/>
  <c r="E653"/>
  <c r="G652"/>
  <c r="F652"/>
  <c r="E652"/>
  <c r="G651"/>
  <c r="F651"/>
  <c r="E651"/>
  <c r="G650"/>
  <c r="F650"/>
  <c r="E650"/>
  <c r="G649"/>
  <c r="F649"/>
  <c r="E649"/>
  <c r="G648"/>
  <c r="F648"/>
  <c r="E648"/>
  <c r="G647"/>
  <c r="F647"/>
  <c r="E647"/>
  <c r="G646"/>
  <c r="F646"/>
  <c r="E646"/>
  <c r="G645"/>
  <c r="F645"/>
  <c r="E645"/>
  <c r="G644"/>
  <c r="F644"/>
  <c r="E644"/>
  <c r="G643"/>
  <c r="F643"/>
  <c r="E643"/>
  <c r="G642"/>
  <c r="F642"/>
  <c r="E642"/>
  <c r="G641"/>
  <c r="F641"/>
  <c r="E641"/>
  <c r="G640"/>
  <c r="F640"/>
  <c r="E640"/>
  <c r="G639"/>
  <c r="F639"/>
  <c r="E639"/>
  <c r="G638"/>
  <c r="F638"/>
  <c r="E638"/>
  <c r="G637"/>
  <c r="F637"/>
  <c r="E637"/>
  <c r="G636"/>
  <c r="F636"/>
  <c r="E636"/>
  <c r="G635"/>
  <c r="F635"/>
  <c r="E635"/>
  <c r="G634"/>
  <c r="F634"/>
  <c r="E634"/>
  <c r="G633"/>
  <c r="F633"/>
  <c r="E633"/>
  <c r="G632"/>
  <c r="F632"/>
  <c r="E632"/>
  <c r="G631"/>
  <c r="F631"/>
  <c r="E631"/>
  <c r="G630"/>
  <c r="F630"/>
  <c r="E630"/>
  <c r="G629"/>
  <c r="F629"/>
  <c r="E629"/>
  <c r="G628"/>
  <c r="F628"/>
  <c r="E628"/>
  <c r="G627"/>
  <c r="F627"/>
  <c r="E627"/>
  <c r="G626"/>
  <c r="F626"/>
  <c r="E626"/>
  <c r="G625"/>
  <c r="F625"/>
  <c r="E625"/>
  <c r="G624"/>
  <c r="F624"/>
  <c r="E624"/>
  <c r="G623"/>
  <c r="F623"/>
  <c r="E623"/>
  <c r="G622"/>
  <c r="F622"/>
  <c r="E622"/>
  <c r="G621"/>
  <c r="F621"/>
  <c r="E621"/>
  <c r="G620"/>
  <c r="F620"/>
  <c r="E620"/>
  <c r="G619"/>
  <c r="F619"/>
  <c r="E619"/>
  <c r="G618"/>
  <c r="F618"/>
  <c r="E618"/>
  <c r="G617"/>
  <c r="F617"/>
  <c r="E617"/>
  <c r="G616"/>
  <c r="F616"/>
  <c r="E616"/>
  <c r="G615"/>
  <c r="F615"/>
  <c r="E615"/>
  <c r="G614"/>
  <c r="F614"/>
  <c r="E614"/>
  <c r="G613"/>
  <c r="F613"/>
  <c r="E613"/>
  <c r="G612"/>
  <c r="F612"/>
  <c r="E612"/>
  <c r="G611"/>
  <c r="F611"/>
  <c r="E611"/>
  <c r="G610"/>
  <c r="F610"/>
  <c r="E610"/>
  <c r="G609"/>
  <c r="F609"/>
  <c r="E609"/>
  <c r="G608"/>
  <c r="F608"/>
  <c r="E608"/>
  <c r="G607"/>
  <c r="F607"/>
  <c r="E607"/>
  <c r="G606"/>
  <c r="F606"/>
  <c r="E606"/>
  <c r="G605"/>
  <c r="F605"/>
  <c r="E605"/>
  <c r="G604"/>
  <c r="F604"/>
  <c r="E604"/>
  <c r="G603"/>
  <c r="F603"/>
  <c r="E603"/>
  <c r="G602"/>
  <c r="F602"/>
  <c r="E602"/>
  <c r="G601"/>
  <c r="F601"/>
  <c r="E601"/>
  <c r="G600"/>
  <c r="F600"/>
  <c r="E600"/>
  <c r="G599"/>
  <c r="F599"/>
  <c r="E599"/>
  <c r="G598"/>
  <c r="F598"/>
  <c r="E598"/>
  <c r="G597"/>
  <c r="F597"/>
  <c r="E597"/>
  <c r="G596"/>
  <c r="F596"/>
  <c r="E596"/>
  <c r="G595"/>
  <c r="F595"/>
  <c r="E595"/>
  <c r="G594"/>
  <c r="F594"/>
  <c r="E594"/>
  <c r="G593"/>
  <c r="F593"/>
  <c r="E593"/>
  <c r="G592"/>
  <c r="F592"/>
  <c r="E592"/>
  <c r="G591"/>
  <c r="F591"/>
  <c r="E591"/>
  <c r="G590"/>
  <c r="F590"/>
  <c r="E590"/>
  <c r="G589"/>
  <c r="F589"/>
  <c r="E589"/>
  <c r="G588"/>
  <c r="F588"/>
  <c r="E588"/>
  <c r="G587"/>
  <c r="F587"/>
  <c r="E587"/>
  <c r="G586"/>
  <c r="F586"/>
  <c r="E586"/>
  <c r="G585"/>
  <c r="F585"/>
  <c r="E585"/>
  <c r="G584"/>
  <c r="F584"/>
  <c r="E584"/>
  <c r="G583"/>
  <c r="F583"/>
  <c r="E583"/>
  <c r="G582"/>
  <c r="F582"/>
  <c r="E582"/>
  <c r="G581"/>
  <c r="F581"/>
  <c r="E581"/>
  <c r="G580"/>
  <c r="F580"/>
  <c r="E580"/>
  <c r="G579"/>
  <c r="F579"/>
  <c r="E579"/>
  <c r="G578"/>
  <c r="F578"/>
  <c r="E578"/>
  <c r="G577"/>
  <c r="F577"/>
  <c r="E577"/>
  <c r="G576"/>
  <c r="F576"/>
  <c r="E576"/>
  <c r="G575"/>
  <c r="F575"/>
  <c r="E575"/>
  <c r="G574"/>
  <c r="F574"/>
  <c r="E574"/>
  <c r="G573"/>
  <c r="F573"/>
  <c r="E573"/>
  <c r="G572"/>
  <c r="F572"/>
  <c r="E572"/>
  <c r="G571"/>
  <c r="F571"/>
  <c r="E571"/>
  <c r="G570"/>
  <c r="F570"/>
  <c r="E570"/>
  <c r="G569"/>
  <c r="F569"/>
  <c r="E569"/>
  <c r="G568"/>
  <c r="F568"/>
  <c r="E568"/>
  <c r="G567"/>
  <c r="F567"/>
  <c r="E567"/>
  <c r="G566"/>
  <c r="F566"/>
  <c r="E566"/>
  <c r="G565"/>
  <c r="F565"/>
  <c r="E565"/>
  <c r="G564"/>
  <c r="F564"/>
  <c r="E564"/>
  <c r="G563"/>
  <c r="F563"/>
  <c r="E563"/>
  <c r="G562"/>
  <c r="F562"/>
  <c r="E562"/>
  <c r="G561"/>
  <c r="F561"/>
  <c r="E561"/>
  <c r="G560"/>
  <c r="F560"/>
  <c r="E560"/>
  <c r="G559"/>
  <c r="F559"/>
  <c r="E559"/>
  <c r="G558"/>
  <c r="F558"/>
  <c r="E558"/>
  <c r="G557"/>
  <c r="F557"/>
  <c r="E557"/>
  <c r="G556"/>
  <c r="F556"/>
  <c r="E556"/>
  <c r="G555"/>
  <c r="F555"/>
  <c r="E555"/>
  <c r="G554"/>
  <c r="F554"/>
  <c r="E554"/>
  <c r="G553"/>
  <c r="F553"/>
  <c r="E553"/>
  <c r="G552"/>
  <c r="F552"/>
  <c r="E552"/>
  <c r="G551"/>
  <c r="F551"/>
  <c r="E551"/>
  <c r="G550"/>
  <c r="F550"/>
  <c r="E550"/>
  <c r="G549"/>
  <c r="F549"/>
  <c r="E549"/>
  <c r="G548"/>
  <c r="F548"/>
  <c r="E548"/>
  <c r="G547"/>
  <c r="F547"/>
  <c r="E547"/>
  <c r="G546"/>
  <c r="F546"/>
  <c r="E546"/>
  <c r="G545"/>
  <c r="F545"/>
  <c r="E545"/>
  <c r="G544"/>
  <c r="F544"/>
  <c r="E544"/>
  <c r="G543"/>
  <c r="F543"/>
  <c r="E543"/>
  <c r="G542"/>
  <c r="F542"/>
  <c r="E542"/>
  <c r="G541"/>
  <c r="F541"/>
  <c r="E541"/>
  <c r="G540"/>
  <c r="F540"/>
  <c r="E540"/>
  <c r="G539"/>
  <c r="F539"/>
  <c r="E539"/>
  <c r="G538"/>
  <c r="F538"/>
  <c r="E538"/>
  <c r="G537"/>
  <c r="F537"/>
  <c r="E537"/>
  <c r="G536"/>
  <c r="F536"/>
  <c r="E536"/>
  <c r="G535"/>
  <c r="F535"/>
  <c r="E535"/>
  <c r="G534"/>
  <c r="F534"/>
  <c r="E534"/>
  <c r="G533"/>
  <c r="F533"/>
  <c r="E533"/>
  <c r="G532"/>
  <c r="F532"/>
  <c r="E532"/>
  <c r="G531"/>
  <c r="F531"/>
  <c r="E531"/>
  <c r="G530"/>
  <c r="F530"/>
  <c r="E530"/>
  <c r="G529"/>
  <c r="F529"/>
  <c r="E529"/>
  <c r="G528"/>
  <c r="F528"/>
  <c r="E528"/>
  <c r="G527"/>
  <c r="F527"/>
  <c r="E527"/>
  <c r="G526"/>
  <c r="F526"/>
  <c r="E526"/>
  <c r="G525"/>
  <c r="F525"/>
  <c r="E525"/>
  <c r="G524"/>
  <c r="F524"/>
  <c r="E524"/>
  <c r="G523"/>
  <c r="F523"/>
  <c r="E523"/>
  <c r="G522"/>
  <c r="F522"/>
  <c r="E522"/>
  <c r="G521"/>
  <c r="F521"/>
  <c r="E521"/>
  <c r="G520"/>
  <c r="F520"/>
  <c r="E520"/>
  <c r="G519"/>
  <c r="F519"/>
  <c r="E519"/>
  <c r="G518"/>
  <c r="F518"/>
  <c r="E518"/>
  <c r="G517"/>
  <c r="F517"/>
  <c r="E517"/>
  <c r="G516"/>
  <c r="F516"/>
  <c r="E516"/>
  <c r="G515"/>
  <c r="F515"/>
  <c r="E515"/>
  <c r="G514"/>
  <c r="F514"/>
  <c r="E514"/>
  <c r="G513"/>
  <c r="F513"/>
  <c r="E513"/>
  <c r="G512"/>
  <c r="F512"/>
  <c r="E512"/>
  <c r="G511"/>
  <c r="F511"/>
  <c r="E511"/>
  <c r="G510"/>
  <c r="F510"/>
  <c r="E510"/>
  <c r="G509"/>
  <c r="F509"/>
  <c r="E509"/>
  <c r="G508"/>
  <c r="F508"/>
  <c r="E508"/>
  <c r="G507"/>
  <c r="F507"/>
  <c r="E507"/>
  <c r="G506"/>
  <c r="F506"/>
  <c r="E506"/>
  <c r="G505"/>
  <c r="F505"/>
  <c r="E505"/>
  <c r="G504"/>
  <c r="F504"/>
  <c r="E504"/>
  <c r="G503"/>
  <c r="F503"/>
  <c r="E503"/>
  <c r="G502"/>
  <c r="F502"/>
  <c r="E502"/>
  <c r="G501"/>
  <c r="F501"/>
  <c r="E501"/>
  <c r="G500"/>
  <c r="F500"/>
  <c r="E500"/>
  <c r="G499"/>
  <c r="F499"/>
  <c r="E499"/>
  <c r="G498"/>
  <c r="F498"/>
  <c r="E498"/>
  <c r="G497"/>
  <c r="F497"/>
  <c r="E497"/>
  <c r="G496"/>
  <c r="F496"/>
  <c r="E496"/>
  <c r="G495"/>
  <c r="F495"/>
  <c r="E495"/>
  <c r="G494"/>
  <c r="F494"/>
  <c r="E494"/>
  <c r="G493"/>
  <c r="F493"/>
  <c r="E493"/>
  <c r="G492"/>
  <c r="F492"/>
  <c r="E492"/>
  <c r="G491"/>
  <c r="F491"/>
  <c r="E491"/>
  <c r="G490"/>
  <c r="F490"/>
  <c r="E490"/>
  <c r="G489"/>
  <c r="F489"/>
  <c r="E489"/>
  <c r="G488"/>
  <c r="F488"/>
  <c r="E488"/>
  <c r="G487"/>
  <c r="F487"/>
  <c r="E487"/>
  <c r="G486"/>
  <c r="F486"/>
  <c r="E486"/>
  <c r="G485"/>
  <c r="F485"/>
  <c r="E485"/>
  <c r="G484"/>
  <c r="F484"/>
  <c r="E484"/>
  <c r="G483"/>
  <c r="F483"/>
  <c r="E483"/>
  <c r="G482"/>
  <c r="F482"/>
  <c r="E482"/>
  <c r="G481"/>
  <c r="F481"/>
  <c r="E481"/>
  <c r="G480"/>
  <c r="F480"/>
  <c r="E480"/>
  <c r="G479"/>
  <c r="F479"/>
  <c r="E479"/>
  <c r="G478"/>
  <c r="F478"/>
  <c r="E478"/>
  <c r="G477"/>
  <c r="F477"/>
  <c r="E477"/>
  <c r="G476"/>
  <c r="F476"/>
  <c r="E476"/>
  <c r="G475"/>
  <c r="F475"/>
  <c r="E475"/>
  <c r="G474"/>
  <c r="F474"/>
  <c r="E474"/>
  <c r="G473"/>
  <c r="F473"/>
  <c r="E473"/>
  <c r="G472"/>
  <c r="F472"/>
  <c r="E472"/>
  <c r="G471"/>
  <c r="F471"/>
  <c r="E471"/>
  <c r="G470"/>
  <c r="F470"/>
  <c r="E470"/>
  <c r="G469"/>
  <c r="F469"/>
  <c r="E469"/>
  <c r="G468"/>
  <c r="F468"/>
  <c r="E468"/>
  <c r="G467"/>
  <c r="F467"/>
  <c r="E467"/>
  <c r="G466"/>
  <c r="F466"/>
  <c r="E466"/>
  <c r="G465"/>
  <c r="F465"/>
  <c r="E465"/>
  <c r="G464"/>
  <c r="F464"/>
  <c r="E464"/>
  <c r="G463"/>
  <c r="F463"/>
  <c r="E463"/>
  <c r="G462"/>
  <c r="F462"/>
  <c r="E462"/>
  <c r="G461"/>
  <c r="F461"/>
  <c r="E461"/>
  <c r="G460"/>
  <c r="F460"/>
  <c r="E460"/>
  <c r="G459"/>
  <c r="F459"/>
  <c r="E459"/>
  <c r="G458"/>
  <c r="F458"/>
  <c r="E458"/>
  <c r="G457"/>
  <c r="F457"/>
  <c r="E457"/>
  <c r="G456"/>
  <c r="F456"/>
  <c r="E456"/>
  <c r="G455"/>
  <c r="F455"/>
  <c r="E455"/>
  <c r="G454"/>
  <c r="F454"/>
  <c r="E454"/>
  <c r="G453"/>
  <c r="F453"/>
  <c r="E453"/>
  <c r="G452"/>
  <c r="F452"/>
  <c r="E452"/>
  <c r="G451"/>
  <c r="F451"/>
  <c r="E451"/>
  <c r="G450"/>
  <c r="F450"/>
  <c r="E450"/>
  <c r="G449"/>
  <c r="F449"/>
  <c r="E449"/>
  <c r="G448"/>
  <c r="F448"/>
  <c r="E448"/>
  <c r="G447"/>
  <c r="F447"/>
  <c r="E447"/>
  <c r="G446"/>
  <c r="F446"/>
  <c r="E446"/>
  <c r="G445"/>
  <c r="F445"/>
  <c r="E445"/>
  <c r="G444"/>
  <c r="F444"/>
  <c r="E444"/>
  <c r="G443"/>
  <c r="F443"/>
  <c r="E443"/>
  <c r="G442"/>
  <c r="F442"/>
  <c r="E442"/>
  <c r="G441"/>
  <c r="F441"/>
  <c r="E441"/>
  <c r="G440"/>
  <c r="F440"/>
  <c r="E440"/>
  <c r="G439"/>
  <c r="F439"/>
  <c r="E439"/>
  <c r="G438"/>
  <c r="F438"/>
  <c r="E438"/>
  <c r="G437"/>
  <c r="F437"/>
  <c r="E437"/>
  <c r="G436"/>
  <c r="F436"/>
  <c r="E436"/>
  <c r="G435"/>
  <c r="F435"/>
  <c r="E435"/>
  <c r="G434"/>
  <c r="F434"/>
  <c r="E434"/>
  <c r="G433"/>
  <c r="F433"/>
  <c r="E433"/>
  <c r="G432"/>
  <c r="F432"/>
  <c r="E432"/>
  <c r="G431"/>
  <c r="F431"/>
  <c r="E431"/>
  <c r="G430"/>
  <c r="F430"/>
  <c r="E430"/>
  <c r="G429"/>
  <c r="F429"/>
  <c r="E429"/>
  <c r="G428"/>
  <c r="F428"/>
  <c r="E428"/>
  <c r="G427"/>
  <c r="F427"/>
  <c r="E427"/>
  <c r="G426"/>
  <c r="F426"/>
  <c r="E426"/>
  <c r="G425"/>
  <c r="F425"/>
  <c r="E425"/>
  <c r="G424"/>
  <c r="F424"/>
  <c r="E424"/>
  <c r="G423"/>
  <c r="F423"/>
  <c r="E423"/>
  <c r="G422"/>
  <c r="F422"/>
  <c r="E422"/>
  <c r="G421"/>
  <c r="F421"/>
  <c r="E421"/>
  <c r="G420"/>
  <c r="F420"/>
  <c r="E420"/>
  <c r="G419"/>
  <c r="F419"/>
  <c r="E419"/>
  <c r="G418"/>
  <c r="F418"/>
  <c r="E418"/>
  <c r="G417"/>
  <c r="F417"/>
  <c r="E417"/>
  <c r="G416"/>
  <c r="F416"/>
  <c r="E416"/>
  <c r="G415"/>
  <c r="F415"/>
  <c r="E415"/>
  <c r="G414"/>
  <c r="F414"/>
  <c r="E414"/>
  <c r="G413"/>
  <c r="F413"/>
  <c r="E413"/>
  <c r="G412"/>
  <c r="F412"/>
  <c r="E412"/>
  <c r="G411"/>
  <c r="F411"/>
  <c r="E411"/>
  <c r="G410"/>
  <c r="F410"/>
  <c r="E410"/>
  <c r="G409"/>
  <c r="F409"/>
  <c r="E409"/>
  <c r="G408"/>
  <c r="F408"/>
  <c r="E408"/>
  <c r="G407"/>
  <c r="F407"/>
  <c r="E407"/>
  <c r="G406"/>
  <c r="F406"/>
  <c r="E406"/>
  <c r="G405"/>
  <c r="F405"/>
  <c r="E405"/>
  <c r="G404"/>
  <c r="F404"/>
  <c r="E404"/>
  <c r="G403"/>
  <c r="F403"/>
  <c r="E403"/>
  <c r="G402"/>
  <c r="F402"/>
  <c r="E402"/>
  <c r="G401"/>
  <c r="F401"/>
  <c r="E401"/>
  <c r="G400"/>
  <c r="F400"/>
  <c r="E400"/>
  <c r="G399"/>
  <c r="F399"/>
  <c r="E399"/>
  <c r="G398"/>
  <c r="F398"/>
  <c r="E398"/>
  <c r="G397"/>
  <c r="F397"/>
  <c r="E397"/>
  <c r="G396"/>
  <c r="F396"/>
  <c r="E396"/>
  <c r="G395"/>
  <c r="F395"/>
  <c r="E395"/>
  <c r="G394"/>
  <c r="F394"/>
  <c r="E394"/>
  <c r="G393"/>
  <c r="F393"/>
  <c r="E393"/>
  <c r="G392"/>
  <c r="F392"/>
  <c r="E392"/>
  <c r="G391"/>
  <c r="F391"/>
  <c r="E391"/>
  <c r="G390"/>
  <c r="F390"/>
  <c r="E390"/>
  <c r="G389"/>
  <c r="F389"/>
  <c r="E389"/>
  <c r="G388"/>
  <c r="F388"/>
  <c r="E388"/>
  <c r="G387"/>
  <c r="F387"/>
  <c r="E387"/>
  <c r="G386"/>
  <c r="F386"/>
  <c r="E386"/>
  <c r="G385"/>
  <c r="F385"/>
  <c r="E385"/>
  <c r="G384"/>
  <c r="F384"/>
  <c r="E384"/>
  <c r="G383"/>
  <c r="F383"/>
  <c r="E383"/>
  <c r="G382"/>
  <c r="F382"/>
  <c r="E382"/>
  <c r="G381"/>
  <c r="F381"/>
  <c r="E381"/>
  <c r="G380"/>
  <c r="F380"/>
  <c r="E380"/>
  <c r="G379"/>
  <c r="F379"/>
  <c r="E379"/>
  <c r="G378"/>
  <c r="F378"/>
  <c r="E378"/>
  <c r="G377"/>
  <c r="F377"/>
  <c r="E377"/>
  <c r="G376"/>
  <c r="F376"/>
  <c r="E376"/>
  <c r="G375"/>
  <c r="F375"/>
  <c r="E375"/>
  <c r="G374"/>
  <c r="F374"/>
  <c r="E374"/>
  <c r="G373"/>
  <c r="F373"/>
  <c r="E373"/>
  <c r="G372"/>
  <c r="F372"/>
  <c r="E372"/>
  <c r="G371"/>
  <c r="F371"/>
  <c r="E371"/>
  <c r="G370"/>
  <c r="F370"/>
  <c r="E370"/>
  <c r="G369"/>
  <c r="F369"/>
  <c r="E369"/>
  <c r="G368"/>
  <c r="F368"/>
  <c r="E368"/>
  <c r="G367"/>
  <c r="F367"/>
  <c r="E367"/>
  <c r="G366"/>
  <c r="F366"/>
  <c r="E366"/>
  <c r="G365"/>
  <c r="F365"/>
  <c r="E365"/>
  <c r="G364"/>
  <c r="F364"/>
  <c r="E364"/>
  <c r="G363"/>
  <c r="F363"/>
  <c r="E363"/>
  <c r="G362"/>
  <c r="F362"/>
  <c r="E362"/>
  <c r="G361"/>
  <c r="F361"/>
  <c r="E361"/>
  <c r="G360"/>
  <c r="F360"/>
  <c r="E360"/>
  <c r="G359"/>
  <c r="F359"/>
  <c r="E359"/>
  <c r="G358"/>
  <c r="F358"/>
  <c r="E358"/>
  <c r="G357"/>
  <c r="F357"/>
  <c r="E357"/>
  <c r="G356"/>
  <c r="F356"/>
  <c r="E356"/>
  <c r="G355"/>
  <c r="F355"/>
  <c r="E355"/>
  <c r="G354"/>
  <c r="F354"/>
  <c r="E354"/>
  <c r="G353"/>
  <c r="F353"/>
  <c r="E353"/>
  <c r="G352"/>
  <c r="F352"/>
  <c r="E352"/>
  <c r="G351"/>
  <c r="F351"/>
  <c r="E351"/>
  <c r="G350"/>
  <c r="F350"/>
  <c r="E350"/>
  <c r="G349"/>
  <c r="F349"/>
  <c r="E349"/>
  <c r="G348"/>
  <c r="F348"/>
  <c r="E348"/>
  <c r="G347"/>
  <c r="F347"/>
  <c r="E347"/>
  <c r="G346"/>
  <c r="F346"/>
  <c r="E346"/>
  <c r="G345"/>
  <c r="F345"/>
  <c r="E345"/>
  <c r="G344"/>
  <c r="F344"/>
  <c r="E344"/>
  <c r="G343"/>
  <c r="F343"/>
  <c r="E343"/>
  <c r="G342"/>
  <c r="F342"/>
  <c r="E342"/>
  <c r="G341"/>
  <c r="F341"/>
  <c r="E341"/>
  <c r="G340"/>
  <c r="F340"/>
  <c r="E340"/>
  <c r="G339"/>
  <c r="F339"/>
  <c r="E339"/>
  <c r="G338"/>
  <c r="F338"/>
  <c r="E338"/>
  <c r="G337"/>
  <c r="F337"/>
  <c r="E337"/>
  <c r="G336"/>
  <c r="F336"/>
  <c r="E336"/>
  <c r="G335"/>
  <c r="F335"/>
  <c r="E335"/>
  <c r="G334"/>
  <c r="F334"/>
  <c r="E334"/>
  <c r="G333"/>
  <c r="F333"/>
  <c r="E333"/>
  <c r="G332"/>
  <c r="F332"/>
  <c r="E332"/>
  <c r="G331"/>
  <c r="F331"/>
  <c r="E331"/>
  <c r="G330"/>
  <c r="F330"/>
  <c r="E330"/>
  <c r="G329"/>
  <c r="F329"/>
  <c r="E329"/>
  <c r="G328"/>
  <c r="F328"/>
  <c r="E328"/>
  <c r="G327"/>
  <c r="F327"/>
  <c r="E327"/>
  <c r="G326"/>
  <c r="F326"/>
  <c r="E326"/>
  <c r="G325"/>
  <c r="F325"/>
  <c r="E325"/>
  <c r="G324"/>
  <c r="F324"/>
  <c r="E324"/>
  <c r="G323"/>
  <c r="F323"/>
  <c r="E323"/>
  <c r="G322"/>
  <c r="F322"/>
  <c r="E322"/>
  <c r="G321"/>
  <c r="F321"/>
  <c r="E321"/>
  <c r="G320"/>
  <c r="F320"/>
  <c r="E320"/>
  <c r="G319"/>
  <c r="F319"/>
  <c r="E319"/>
  <c r="G318"/>
  <c r="F318"/>
  <c r="E318"/>
  <c r="G317"/>
  <c r="F317"/>
  <c r="E317"/>
  <c r="G316"/>
  <c r="F316"/>
  <c r="E316"/>
  <c r="G315"/>
  <c r="F315"/>
  <c r="E315"/>
  <c r="G314"/>
  <c r="F314"/>
  <c r="E314"/>
  <c r="G313"/>
  <c r="F313"/>
  <c r="E313"/>
  <c r="G312"/>
  <c r="F312"/>
  <c r="E312"/>
  <c r="G311"/>
  <c r="F311"/>
  <c r="E311"/>
  <c r="G310"/>
  <c r="F310"/>
  <c r="E310"/>
  <c r="G309"/>
  <c r="F309"/>
  <c r="E309"/>
  <c r="G308"/>
  <c r="F308"/>
  <c r="E308"/>
  <c r="G307"/>
  <c r="F307"/>
  <c r="E307"/>
  <c r="G306"/>
  <c r="F306"/>
  <c r="E306"/>
  <c r="G305"/>
  <c r="F305"/>
  <c r="E305"/>
  <c r="G304"/>
  <c r="F304"/>
  <c r="E304"/>
  <c r="G303"/>
  <c r="F303"/>
  <c r="E303"/>
  <c r="G302"/>
  <c r="F302"/>
  <c r="E302"/>
  <c r="G301"/>
  <c r="F301"/>
  <c r="E301"/>
  <c r="G300"/>
  <c r="F300"/>
  <c r="E300"/>
  <c r="G299"/>
  <c r="F299"/>
  <c r="E299"/>
  <c r="G298"/>
  <c r="F298"/>
  <c r="E298"/>
  <c r="G297"/>
  <c r="F297"/>
  <c r="E297"/>
  <c r="G296"/>
  <c r="F296"/>
  <c r="E296"/>
  <c r="G295"/>
  <c r="F295"/>
  <c r="E295"/>
  <c r="G294"/>
  <c r="F294"/>
  <c r="E294"/>
  <c r="G293"/>
  <c r="F293"/>
  <c r="E293"/>
  <c r="G292"/>
  <c r="F292"/>
  <c r="E292"/>
  <c r="G291"/>
  <c r="F291"/>
  <c r="E291"/>
  <c r="G290"/>
  <c r="F290"/>
  <c r="E290"/>
  <c r="G289"/>
  <c r="F289"/>
  <c r="E289"/>
  <c r="G288"/>
  <c r="F288"/>
  <c r="E288"/>
  <c r="G287"/>
  <c r="F287"/>
  <c r="E287"/>
  <c r="G286"/>
  <c r="F286"/>
  <c r="E286"/>
  <c r="G285"/>
  <c r="F285"/>
  <c r="E285"/>
  <c r="G284"/>
  <c r="F284"/>
  <c r="E284"/>
  <c r="G283"/>
  <c r="F283"/>
  <c r="E283"/>
  <c r="G282"/>
  <c r="F282"/>
  <c r="E282"/>
  <c r="G281"/>
  <c r="F281"/>
  <c r="E281"/>
  <c r="G280"/>
  <c r="F280"/>
  <c r="E280"/>
  <c r="G279"/>
  <c r="F279"/>
  <c r="E279"/>
  <c r="G278"/>
  <c r="F278"/>
  <c r="E278"/>
  <c r="G277"/>
  <c r="F277"/>
  <c r="E277"/>
  <c r="G276"/>
  <c r="F276"/>
  <c r="E276"/>
  <c r="G275"/>
  <c r="F275"/>
  <c r="E275"/>
  <c r="G274"/>
  <c r="F274"/>
  <c r="E274"/>
  <c r="G273"/>
  <c r="F273"/>
  <c r="E273"/>
  <c r="G272"/>
  <c r="F272"/>
  <c r="E272"/>
  <c r="G271"/>
  <c r="F271"/>
  <c r="E271"/>
  <c r="G270"/>
  <c r="F270"/>
  <c r="E270"/>
  <c r="G269"/>
  <c r="F269"/>
  <c r="E269"/>
  <c r="G268"/>
  <c r="F268"/>
  <c r="E268"/>
  <c r="G267"/>
  <c r="F267"/>
  <c r="E267"/>
  <c r="G266"/>
  <c r="F266"/>
  <c r="E266"/>
  <c r="G265"/>
  <c r="F265"/>
  <c r="E265"/>
  <c r="G264"/>
  <c r="F264"/>
  <c r="E264"/>
  <c r="G263"/>
  <c r="F263"/>
  <c r="E263"/>
  <c r="G262"/>
  <c r="F262"/>
  <c r="E262"/>
  <c r="G261"/>
  <c r="F261"/>
  <c r="E261"/>
  <c r="G260"/>
  <c r="F260"/>
  <c r="E260"/>
  <c r="G259"/>
  <c r="F259"/>
  <c r="E259"/>
  <c r="G258"/>
  <c r="F258"/>
  <c r="E258"/>
  <c r="G257"/>
  <c r="F257"/>
  <c r="E257"/>
  <c r="G256"/>
  <c r="F256"/>
  <c r="E256"/>
  <c r="G255"/>
  <c r="F255"/>
  <c r="E255"/>
  <c r="G254"/>
  <c r="F254"/>
  <c r="E254"/>
  <c r="G253"/>
  <c r="F253"/>
  <c r="E253"/>
  <c r="G252"/>
  <c r="F252"/>
  <c r="E252"/>
  <c r="G251"/>
  <c r="F251"/>
  <c r="E251"/>
  <c r="G250"/>
  <c r="F250"/>
  <c r="E250"/>
  <c r="G249"/>
  <c r="F249"/>
  <c r="E249"/>
  <c r="G248"/>
  <c r="F248"/>
  <c r="E248"/>
  <c r="G247"/>
  <c r="F247"/>
  <c r="E247"/>
  <c r="G246"/>
  <c r="F246"/>
  <c r="E246"/>
  <c r="G245"/>
  <c r="F245"/>
  <c r="E245"/>
  <c r="G244"/>
  <c r="F244"/>
  <c r="E244"/>
  <c r="G243"/>
  <c r="F243"/>
  <c r="E243"/>
  <c r="G242"/>
  <c r="F242"/>
  <c r="E242"/>
  <c r="G241"/>
  <c r="F241"/>
  <c r="E241"/>
  <c r="G240"/>
  <c r="F240"/>
  <c r="E240"/>
  <c r="G239"/>
  <c r="F239"/>
  <c r="E239"/>
  <c r="G238"/>
  <c r="F238"/>
  <c r="E238"/>
  <c r="G237"/>
  <c r="F237"/>
  <c r="E237"/>
  <c r="G236"/>
  <c r="F236"/>
  <c r="E236"/>
  <c r="G235"/>
  <c r="F235"/>
  <c r="E235"/>
  <c r="G234"/>
  <c r="F234"/>
  <c r="E234"/>
  <c r="G233"/>
  <c r="F233"/>
  <c r="E233"/>
  <c r="G232"/>
  <c r="F232"/>
  <c r="E232"/>
  <c r="G231"/>
  <c r="F231"/>
  <c r="E231"/>
  <c r="G230"/>
  <c r="F230"/>
  <c r="E230"/>
  <c r="G229"/>
  <c r="F229"/>
  <c r="E229"/>
  <c r="G228"/>
  <c r="F228"/>
  <c r="E228"/>
  <c r="G227"/>
  <c r="F227"/>
  <c r="E227"/>
  <c r="G226"/>
  <c r="F226"/>
  <c r="E226"/>
  <c r="G225"/>
  <c r="F225"/>
  <c r="E225"/>
  <c r="G224"/>
  <c r="F224"/>
  <c r="E224"/>
  <c r="G223"/>
  <c r="F223"/>
  <c r="E223"/>
  <c r="G222"/>
  <c r="F222"/>
  <c r="E222"/>
  <c r="G221"/>
  <c r="F221"/>
  <c r="E221"/>
  <c r="G220"/>
  <c r="F220"/>
  <c r="E220"/>
  <c r="G219"/>
  <c r="F219"/>
  <c r="E219"/>
  <c r="G218"/>
  <c r="F218"/>
  <c r="E218"/>
  <c r="G217"/>
  <c r="F217"/>
  <c r="E217"/>
  <c r="G216"/>
  <c r="F216"/>
  <c r="E216"/>
  <c r="G215"/>
  <c r="F215"/>
  <c r="E215"/>
  <c r="G214"/>
  <c r="F214"/>
  <c r="E214"/>
  <c r="G213"/>
  <c r="F213"/>
  <c r="E213"/>
  <c r="G212"/>
  <c r="F212"/>
  <c r="E212"/>
  <c r="G211"/>
  <c r="F211"/>
  <c r="E211"/>
  <c r="G210"/>
  <c r="F210"/>
  <c r="E210"/>
  <c r="G209"/>
  <c r="F209"/>
  <c r="E209"/>
  <c r="G208"/>
  <c r="F208"/>
  <c r="E208"/>
  <c r="G207"/>
  <c r="F207"/>
  <c r="E207"/>
  <c r="G206"/>
  <c r="F206"/>
  <c r="E206"/>
  <c r="G205"/>
  <c r="F205"/>
  <c r="E205"/>
  <c r="G204"/>
  <c r="F204"/>
  <c r="E204"/>
  <c r="G203"/>
  <c r="F203"/>
  <c r="E203"/>
  <c r="G202"/>
  <c r="F202"/>
  <c r="E202"/>
  <c r="G201"/>
  <c r="F201"/>
  <c r="E201"/>
  <c r="G200"/>
  <c r="F200"/>
  <c r="E200"/>
  <c r="G199"/>
  <c r="F199"/>
  <c r="E199"/>
  <c r="G198"/>
  <c r="F198"/>
  <c r="E198"/>
  <c r="G197"/>
  <c r="F197"/>
  <c r="E197"/>
  <c r="G196"/>
  <c r="F196"/>
  <c r="E196"/>
  <c r="G195"/>
  <c r="F195"/>
  <c r="E195"/>
  <c r="G194"/>
  <c r="F194"/>
  <c r="E194"/>
  <c r="G193"/>
  <c r="F193"/>
  <c r="E193"/>
  <c r="G192"/>
  <c r="F192"/>
  <c r="E192"/>
  <c r="G191"/>
  <c r="F191"/>
  <c r="E191"/>
  <c r="G190"/>
  <c r="F190"/>
  <c r="E190"/>
  <c r="G189"/>
  <c r="F189"/>
  <c r="E189"/>
  <c r="G188"/>
  <c r="F188"/>
  <c r="E188"/>
  <c r="G187"/>
  <c r="F187"/>
  <c r="E187"/>
  <c r="G186"/>
  <c r="F186"/>
  <c r="E186"/>
  <c r="G185"/>
  <c r="F185"/>
  <c r="E185"/>
  <c r="G184"/>
  <c r="F184"/>
  <c r="E184"/>
  <c r="G183"/>
  <c r="F183"/>
  <c r="E183"/>
  <c r="G182"/>
  <c r="F182"/>
  <c r="E182"/>
  <c r="G181"/>
  <c r="F181"/>
  <c r="E181"/>
  <c r="G180"/>
  <c r="F180"/>
  <c r="E180"/>
  <c r="G179"/>
  <c r="F179"/>
  <c r="E179"/>
  <c r="G178"/>
  <c r="F178"/>
  <c r="E178"/>
  <c r="G177"/>
  <c r="F177"/>
  <c r="E177"/>
  <c r="G176"/>
  <c r="F176"/>
  <c r="E176"/>
  <c r="G175"/>
  <c r="F175"/>
  <c r="E175"/>
  <c r="G174"/>
  <c r="F174"/>
  <c r="E174"/>
  <c r="G173"/>
  <c r="F173"/>
  <c r="E173"/>
  <c r="G172"/>
  <c r="F172"/>
  <c r="E172"/>
  <c r="G171"/>
  <c r="F171"/>
  <c r="E171"/>
  <c r="G170"/>
  <c r="F170"/>
  <c r="E170"/>
  <c r="G169"/>
  <c r="F169"/>
  <c r="E169"/>
  <c r="G168"/>
  <c r="F168"/>
  <c r="E168"/>
  <c r="G167"/>
  <c r="F167"/>
  <c r="E167"/>
  <c r="G166"/>
  <c r="F166"/>
  <c r="E166"/>
  <c r="G165"/>
  <c r="F165"/>
  <c r="E165"/>
  <c r="G164"/>
  <c r="F164"/>
  <c r="E164"/>
  <c r="G163"/>
  <c r="F163"/>
  <c r="E163"/>
  <c r="G162"/>
  <c r="F162"/>
  <c r="E162"/>
  <c r="G161"/>
  <c r="F161"/>
  <c r="E161"/>
  <c r="G160"/>
  <c r="F160"/>
  <c r="E160"/>
  <c r="G159"/>
  <c r="F159"/>
  <c r="E159"/>
  <c r="G158"/>
  <c r="F158"/>
  <c r="E158"/>
  <c r="G157"/>
  <c r="F157"/>
  <c r="E157"/>
  <c r="G156"/>
  <c r="F156"/>
  <c r="E156"/>
  <c r="G155"/>
  <c r="F155"/>
  <c r="E155"/>
  <c r="G154"/>
  <c r="F154"/>
  <c r="E154"/>
  <c r="G153"/>
  <c r="F153"/>
  <c r="E153"/>
  <c r="G152"/>
  <c r="F152"/>
  <c r="E152"/>
  <c r="G151"/>
  <c r="F151"/>
  <c r="E151"/>
  <c r="G150"/>
  <c r="F150"/>
  <c r="E150"/>
  <c r="G149"/>
  <c r="F149"/>
  <c r="E149"/>
  <c r="G148"/>
  <c r="F148"/>
  <c r="E148"/>
  <c r="G147"/>
  <c r="F147"/>
  <c r="E147"/>
  <c r="G146"/>
  <c r="F146"/>
  <c r="E146"/>
  <c r="G145"/>
  <c r="F145"/>
  <c r="E145"/>
  <c r="G144"/>
  <c r="F144"/>
  <c r="E144"/>
  <c r="G143"/>
  <c r="F143"/>
  <c r="E143"/>
  <c r="G142"/>
  <c r="F142"/>
  <c r="E142"/>
  <c r="G141"/>
  <c r="F141"/>
  <c r="E141"/>
  <c r="G140"/>
  <c r="F140"/>
  <c r="E140"/>
  <c r="G139"/>
  <c r="F139"/>
  <c r="E139"/>
  <c r="G138"/>
  <c r="F138"/>
  <c r="E138"/>
  <c r="G137"/>
  <c r="F137"/>
  <c r="E137"/>
  <c r="G136"/>
  <c r="F136"/>
  <c r="E136"/>
  <c r="G135"/>
  <c r="F135"/>
  <c r="E135"/>
  <c r="G134"/>
  <c r="F134"/>
  <c r="E134"/>
  <c r="G133"/>
  <c r="F133"/>
  <c r="E133"/>
  <c r="G132"/>
  <c r="F132"/>
  <c r="E132"/>
  <c r="G131"/>
  <c r="F131"/>
  <c r="E131"/>
  <c r="G130"/>
  <c r="F130"/>
  <c r="E130"/>
  <c r="G129"/>
  <c r="F129"/>
  <c r="E129"/>
  <c r="G128"/>
  <c r="F128"/>
  <c r="E128"/>
  <c r="G127"/>
  <c r="F127"/>
  <c r="E127"/>
  <c r="G126"/>
  <c r="F126"/>
  <c r="E126"/>
  <c r="G125"/>
  <c r="F125"/>
  <c r="E125"/>
  <c r="G124"/>
  <c r="F124"/>
  <c r="E124"/>
  <c r="G123"/>
  <c r="F123"/>
  <c r="E123"/>
  <c r="G122"/>
  <c r="F122"/>
  <c r="E122"/>
  <c r="G121"/>
  <c r="F121"/>
  <c r="E121"/>
  <c r="G120"/>
  <c r="F120"/>
  <c r="E120"/>
  <c r="G119"/>
  <c r="F119"/>
  <c r="E119"/>
  <c r="G118"/>
  <c r="F118"/>
  <c r="E118"/>
  <c r="G117"/>
  <c r="F117"/>
  <c r="E117"/>
  <c r="G116"/>
  <c r="F116"/>
  <c r="E116"/>
  <c r="G115"/>
  <c r="F115"/>
  <c r="E115"/>
  <c r="G114"/>
  <c r="F114"/>
  <c r="E114"/>
  <c r="G113"/>
  <c r="F113"/>
  <c r="E113"/>
  <c r="G112"/>
  <c r="F112"/>
  <c r="E112"/>
  <c r="G111"/>
  <c r="F111"/>
  <c r="E111"/>
  <c r="G110"/>
  <c r="F110"/>
  <c r="E110"/>
  <c r="G109"/>
  <c r="F109"/>
  <c r="E109"/>
  <c r="G108"/>
  <c r="F108"/>
  <c r="E108"/>
  <c r="G107"/>
  <c r="F107"/>
  <c r="E107"/>
  <c r="G106"/>
  <c r="F106"/>
  <c r="E106"/>
  <c r="G105"/>
  <c r="F105"/>
  <c r="E105"/>
  <c r="G104"/>
  <c r="F104"/>
  <c r="E104"/>
  <c r="G103"/>
  <c r="F103"/>
  <c r="E103"/>
  <c r="G102"/>
  <c r="F102"/>
  <c r="E102"/>
  <c r="G101"/>
  <c r="F101"/>
  <c r="E101"/>
  <c r="G100"/>
  <c r="F100"/>
  <c r="E100"/>
  <c r="G99"/>
  <c r="F99"/>
  <c r="E99"/>
  <c r="G98"/>
  <c r="F98"/>
  <c r="E98"/>
  <c r="G97"/>
  <c r="F97"/>
  <c r="E97"/>
  <c r="G96"/>
  <c r="F96"/>
  <c r="E96"/>
  <c r="G95"/>
  <c r="F95"/>
  <c r="E95"/>
  <c r="G94"/>
  <c r="F94"/>
  <c r="E94"/>
  <c r="G93"/>
  <c r="F93"/>
  <c r="E93"/>
  <c r="G92"/>
  <c r="F92"/>
  <c r="E92"/>
  <c r="G91"/>
  <c r="F91"/>
  <c r="E91"/>
  <c r="G90"/>
  <c r="F90"/>
  <c r="E90"/>
  <c r="G89"/>
  <c r="F89"/>
  <c r="E89"/>
  <c r="G88"/>
  <c r="F88"/>
  <c r="E88"/>
  <c r="G87"/>
  <c r="F87"/>
  <c r="E87"/>
  <c r="G86"/>
  <c r="F86"/>
  <c r="E86"/>
  <c r="G85"/>
  <c r="F85"/>
  <c r="E85"/>
  <c r="G84"/>
  <c r="F84"/>
  <c r="E84"/>
  <c r="G83"/>
  <c r="F83"/>
  <c r="E83"/>
  <c r="G82"/>
  <c r="F82"/>
  <c r="E82"/>
  <c r="G81"/>
  <c r="F81"/>
  <c r="E81"/>
  <c r="G80"/>
  <c r="F80"/>
  <c r="E80"/>
  <c r="G79"/>
  <c r="F79"/>
  <c r="E79"/>
  <c r="G78"/>
  <c r="F78"/>
  <c r="E78"/>
  <c r="G77"/>
  <c r="F77"/>
  <c r="E77"/>
  <c r="G76"/>
  <c r="F76"/>
  <c r="E76"/>
  <c r="G75"/>
  <c r="F75"/>
  <c r="E75"/>
  <c r="G74"/>
  <c r="F74"/>
  <c r="E74"/>
  <c r="G73"/>
  <c r="F73"/>
  <c r="E73"/>
  <c r="G72"/>
  <c r="F72"/>
  <c r="E72"/>
  <c r="G71"/>
  <c r="F71"/>
  <c r="E71"/>
  <c r="G70"/>
  <c r="F70"/>
  <c r="E70"/>
  <c r="G69"/>
  <c r="F69"/>
  <c r="E69"/>
  <c r="G68"/>
  <c r="F68"/>
  <c r="E68"/>
  <c r="G67"/>
  <c r="F67"/>
  <c r="E67"/>
  <c r="G66"/>
  <c r="F66"/>
  <c r="E66"/>
  <c r="G65"/>
  <c r="F65"/>
  <c r="E65"/>
  <c r="G64"/>
  <c r="F64"/>
  <c r="E64"/>
  <c r="G63"/>
  <c r="F63"/>
  <c r="E63"/>
  <c r="G62"/>
  <c r="F62"/>
  <c r="E62"/>
  <c r="G61"/>
  <c r="F61"/>
  <c r="E61"/>
  <c r="G60"/>
  <c r="F60"/>
  <c r="E60"/>
  <c r="G59"/>
  <c r="F59"/>
  <c r="E59"/>
  <c r="G58"/>
  <c r="F58"/>
  <c r="E58"/>
  <c r="G57"/>
  <c r="F57"/>
  <c r="E57"/>
  <c r="G56"/>
  <c r="F56"/>
  <c r="E56"/>
  <c r="G55"/>
  <c r="F55"/>
  <c r="E55"/>
  <c r="G54"/>
  <c r="F54"/>
  <c r="E54"/>
  <c r="G53"/>
  <c r="F53"/>
  <c r="E53"/>
  <c r="G52"/>
  <c r="F52"/>
  <c r="E52"/>
  <c r="G51"/>
  <c r="F51"/>
  <c r="E51"/>
  <c r="G50"/>
  <c r="F50"/>
  <c r="E50"/>
  <c r="G49"/>
  <c r="F49"/>
  <c r="E49"/>
  <c r="G48"/>
  <c r="F48"/>
  <c r="E48"/>
  <c r="G47"/>
  <c r="F47"/>
  <c r="E47"/>
  <c r="G46"/>
  <c r="F46"/>
  <c r="E46"/>
  <c r="G45"/>
  <c r="F45"/>
  <c r="E45"/>
  <c r="G44"/>
  <c r="F44"/>
  <c r="E44"/>
  <c r="G43"/>
  <c r="F43"/>
  <c r="E43"/>
  <c r="G42"/>
  <c r="F42"/>
  <c r="E42"/>
  <c r="G41"/>
  <c r="F41"/>
  <c r="E41"/>
  <c r="G40"/>
  <c r="F40"/>
  <c r="E40"/>
  <c r="G39"/>
  <c r="F39"/>
  <c r="E39"/>
  <c r="G38"/>
  <c r="F38"/>
  <c r="E38"/>
  <c r="G37"/>
  <c r="F37"/>
  <c r="E37"/>
  <c r="G36"/>
  <c r="F36"/>
  <c r="E36"/>
  <c r="G35"/>
  <c r="F35"/>
  <c r="E35"/>
  <c r="G34"/>
  <c r="F34"/>
  <c r="E34"/>
  <c r="G33"/>
  <c r="F33"/>
  <c r="E33"/>
  <c r="G32"/>
  <c r="F32"/>
  <c r="E32"/>
  <c r="G31"/>
  <c r="F31"/>
  <c r="E31"/>
  <c r="G30"/>
  <c r="F30"/>
  <c r="E30"/>
  <c r="G29"/>
  <c r="F29"/>
  <c r="E29"/>
  <c r="G28"/>
  <c r="F28"/>
  <c r="E28"/>
  <c r="G27"/>
  <c r="F27"/>
  <c r="E27"/>
  <c r="G26"/>
  <c r="F26"/>
  <c r="E26"/>
  <c r="G25"/>
  <c r="F25"/>
  <c r="E25"/>
  <c r="G24"/>
  <c r="F24"/>
  <c r="E24"/>
  <c r="G23"/>
  <c r="F23"/>
  <c r="E23"/>
  <c r="G22"/>
  <c r="F22"/>
  <c r="E22"/>
  <c r="G21"/>
  <c r="F21"/>
  <c r="E21"/>
  <c r="G20"/>
  <c r="F20"/>
  <c r="E20"/>
  <c r="G19"/>
  <c r="F19"/>
  <c r="E19"/>
  <c r="G18"/>
  <c r="F18"/>
  <c r="E18"/>
  <c r="G17"/>
  <c r="F17"/>
  <c r="E17"/>
  <c r="G16"/>
  <c r="F16"/>
  <c r="E16"/>
  <c r="G15"/>
  <c r="F15"/>
  <c r="E15"/>
  <c r="G14"/>
  <c r="F14"/>
  <c r="E14"/>
  <c r="G13"/>
  <c r="F13"/>
  <c r="E13"/>
  <c r="G12"/>
  <c r="F12"/>
  <c r="E12"/>
  <c r="G11"/>
  <c r="F11"/>
  <c r="E11"/>
  <c r="G10"/>
  <c r="F10"/>
  <c r="E10"/>
  <c r="G9"/>
  <c r="F9"/>
  <c r="E9"/>
  <c r="G8"/>
  <c r="F8"/>
  <c r="E8"/>
  <c r="G7"/>
  <c r="F7"/>
  <c r="E7"/>
  <c r="G6"/>
  <c r="F6"/>
  <c r="E6"/>
  <c r="C3"/>
  <c r="C17" i="9"/>
  <c r="C16"/>
  <c r="C15"/>
  <c r="C14"/>
  <c r="C13"/>
  <c r="C12"/>
  <c r="C11"/>
  <c r="C10"/>
  <c r="C9"/>
  <c r="C8"/>
  <c r="C7"/>
  <c r="C6"/>
  <c r="C3" s="1"/>
  <c r="G1"/>
  <c r="G2" i="3" s="1"/>
  <c r="G1" i="8"/>
  <c r="F2" i="3" s="1"/>
  <c r="G1" i="2"/>
  <c r="E2" i="3" s="1"/>
  <c r="C17" i="8"/>
  <c r="C16"/>
  <c r="C15"/>
  <c r="C14"/>
  <c r="C13"/>
  <c r="C12"/>
  <c r="C11"/>
  <c r="C10"/>
  <c r="C9"/>
  <c r="C8"/>
  <c r="C7"/>
  <c r="C6"/>
  <c r="C3" s="1"/>
  <c r="C6" i="2"/>
  <c r="C3" s="1"/>
  <c r="C14"/>
  <c r="C13"/>
  <c r="C12"/>
  <c r="C11"/>
  <c r="C10"/>
  <c r="C16"/>
  <c r="C15"/>
  <c r="C9"/>
  <c r="C8"/>
  <c r="C7"/>
  <c r="C17"/>
  <c r="E1" i="9" l="1"/>
  <c r="F3" s="1"/>
  <c r="E1" i="8"/>
  <c r="F3" s="1"/>
  <c r="G3" i="2"/>
  <c r="D95" i="3"/>
  <c r="D97"/>
  <c r="D99"/>
  <c r="D103"/>
  <c r="D105"/>
  <c r="D109"/>
  <c r="D111"/>
  <c r="D113"/>
  <c r="D117"/>
  <c r="D119"/>
  <c r="D121"/>
  <c r="D123"/>
  <c r="D125"/>
  <c r="D127"/>
  <c r="D129"/>
  <c r="D131"/>
  <c r="D133"/>
  <c r="D135"/>
  <c r="D137"/>
  <c r="D139"/>
  <c r="D141"/>
  <c r="D143"/>
  <c r="D145"/>
  <c r="D147"/>
  <c r="D149"/>
  <c r="D153"/>
  <c r="D155"/>
  <c r="D159"/>
  <c r="D161"/>
  <c r="D163"/>
  <c r="D165"/>
  <c r="D167"/>
  <c r="D169"/>
  <c r="D171"/>
  <c r="D173"/>
  <c r="D175"/>
  <c r="D177"/>
  <c r="D179"/>
  <c r="D181"/>
  <c r="D183"/>
  <c r="D185"/>
  <c r="D189"/>
  <c r="D191"/>
  <c r="D193"/>
  <c r="D195"/>
  <c r="D197"/>
  <c r="D199"/>
  <c r="D201"/>
  <c r="D203"/>
  <c r="D205"/>
  <c r="D209"/>
  <c r="D211"/>
  <c r="D213"/>
  <c r="D217"/>
  <c r="D219"/>
  <c r="D223"/>
  <c r="D225"/>
  <c r="D227"/>
  <c r="D231"/>
  <c r="D233"/>
  <c r="D235"/>
  <c r="D237"/>
  <c r="D343"/>
  <c r="D345"/>
  <c r="D347"/>
  <c r="D349"/>
  <c r="D353"/>
  <c r="D355"/>
  <c r="D357"/>
  <c r="D359"/>
  <c r="D363"/>
  <c r="D365"/>
  <c r="D367"/>
  <c r="D371"/>
  <c r="D373"/>
  <c r="D375"/>
  <c r="D369"/>
  <c r="D361"/>
  <c r="D351"/>
  <c r="D215"/>
  <c r="D207"/>
  <c r="D151"/>
  <c r="D7"/>
  <c r="D9"/>
  <c r="D11"/>
  <c r="D13"/>
  <c r="D15"/>
  <c r="D17"/>
  <c r="D19"/>
  <c r="D21"/>
  <c r="D23"/>
  <c r="D25"/>
  <c r="D27"/>
  <c r="D29"/>
  <c r="D33"/>
  <c r="D35"/>
  <c r="D37"/>
  <c r="D39"/>
  <c r="D41"/>
  <c r="D43"/>
  <c r="D45"/>
  <c r="D47"/>
  <c r="D49"/>
  <c r="D51"/>
  <c r="D55"/>
  <c r="D57"/>
  <c r="D59"/>
  <c r="D61"/>
  <c r="D63"/>
  <c r="D65"/>
  <c r="D67"/>
  <c r="D69"/>
  <c r="D71"/>
  <c r="D73"/>
  <c r="D75"/>
  <c r="D77"/>
  <c r="D79"/>
  <c r="D81"/>
  <c r="D83"/>
  <c r="D85"/>
  <c r="D89"/>
  <c r="D91"/>
  <c r="D93"/>
  <c r="D239"/>
  <c r="D241"/>
  <c r="D243"/>
  <c r="D245"/>
  <c r="D247"/>
  <c r="D249"/>
  <c r="D251"/>
  <c r="D253"/>
  <c r="D255"/>
  <c r="D257"/>
  <c r="D259"/>
  <c r="D261"/>
  <c r="D263"/>
  <c r="D265"/>
  <c r="D267"/>
  <c r="D273"/>
  <c r="D277"/>
  <c r="D279"/>
  <c r="D281"/>
  <c r="D285"/>
  <c r="D289"/>
  <c r="D293"/>
  <c r="D295"/>
  <c r="D297"/>
  <c r="D299"/>
  <c r="D301"/>
  <c r="D303"/>
  <c r="D305"/>
  <c r="D307"/>
  <c r="D309"/>
  <c r="D311"/>
  <c r="D313"/>
  <c r="D315"/>
  <c r="D317"/>
  <c r="D321"/>
  <c r="D323"/>
  <c r="D325"/>
  <c r="D327"/>
  <c r="D329"/>
  <c r="D331"/>
  <c r="D333"/>
  <c r="D335"/>
  <c r="D337"/>
  <c r="D339"/>
  <c r="D341"/>
  <c r="D377"/>
  <c r="D379"/>
  <c r="D381"/>
  <c r="D383"/>
  <c r="D385"/>
  <c r="D387"/>
  <c r="D391"/>
  <c r="D393"/>
  <c r="D395"/>
  <c r="D397"/>
  <c r="D399"/>
  <c r="D401"/>
  <c r="D403"/>
  <c r="D407"/>
  <c r="D409"/>
  <c r="D411"/>
  <c r="D413"/>
  <c r="D415"/>
  <c r="D417"/>
  <c r="D419"/>
  <c r="D421"/>
  <c r="D423"/>
  <c r="D425"/>
  <c r="D427"/>
  <c r="D429"/>
  <c r="D431"/>
  <c r="D433"/>
  <c r="D435"/>
  <c r="D437"/>
  <c r="D439"/>
  <c r="D441"/>
  <c r="D443"/>
  <c r="D445"/>
  <c r="D447"/>
  <c r="D449"/>
  <c r="D451"/>
  <c r="D453"/>
  <c r="D455"/>
  <c r="D457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107"/>
  <c r="D31"/>
  <c r="D53"/>
  <c r="D115"/>
  <c r="D157"/>
  <c r="D187"/>
  <c r="D221"/>
  <c r="D271"/>
  <c r="D283"/>
  <c r="D291"/>
  <c r="D497"/>
  <c r="D499"/>
  <c r="D501"/>
  <c r="D503"/>
  <c r="D505"/>
  <c r="D507"/>
  <c r="D509"/>
  <c r="D511"/>
  <c r="D513"/>
  <c r="D515"/>
  <c r="D517"/>
  <c r="D519"/>
  <c r="D521"/>
  <c r="D523"/>
  <c r="D525"/>
  <c r="D527"/>
  <c r="D529"/>
  <c r="D531"/>
  <c r="D533"/>
  <c r="D535"/>
  <c r="D537"/>
  <c r="D539"/>
  <c r="D541"/>
  <c r="D543"/>
  <c r="D545"/>
  <c r="D547"/>
  <c r="D549"/>
  <c r="D551"/>
  <c r="D553"/>
  <c r="D555"/>
  <c r="D557"/>
  <c r="D559"/>
  <c r="D561"/>
  <c r="D563"/>
  <c r="D565"/>
  <c r="D567"/>
  <c r="D569"/>
  <c r="D571"/>
  <c r="D573"/>
  <c r="D575"/>
  <c r="D577"/>
  <c r="D579"/>
  <c r="D581"/>
  <c r="D583"/>
  <c r="D585"/>
  <c r="D587"/>
  <c r="D589"/>
  <c r="D591"/>
  <c r="D593"/>
  <c r="D595"/>
  <c r="D597"/>
  <c r="D599"/>
  <c r="D601"/>
  <c r="D603"/>
  <c r="D605"/>
  <c r="D607"/>
  <c r="D609"/>
  <c r="D611"/>
  <c r="D613"/>
  <c r="D615"/>
  <c r="D617"/>
  <c r="D619"/>
  <c r="D621"/>
  <c r="D623"/>
  <c r="D625"/>
  <c r="D627"/>
  <c r="D629"/>
  <c r="D631"/>
  <c r="D633"/>
  <c r="D635"/>
  <c r="D637"/>
  <c r="D639"/>
  <c r="D641"/>
  <c r="D643"/>
  <c r="D645"/>
  <c r="D647"/>
  <c r="D649"/>
  <c r="D651"/>
  <c r="D653"/>
  <c r="D655"/>
  <c r="D657"/>
  <c r="D659"/>
  <c r="D661"/>
  <c r="D663"/>
  <c r="D665"/>
  <c r="D667"/>
  <c r="D669"/>
  <c r="D671"/>
  <c r="D673"/>
  <c r="D675"/>
  <c r="D677"/>
  <c r="D679"/>
  <c r="D681"/>
  <c r="D683"/>
  <c r="D685"/>
  <c r="D687"/>
  <c r="D689"/>
  <c r="D691"/>
  <c r="D693"/>
  <c r="D695"/>
  <c r="D697"/>
  <c r="D699"/>
  <c r="D701"/>
  <c r="D703"/>
  <c r="D705"/>
  <c r="D707"/>
  <c r="D709"/>
  <c r="D711"/>
  <c r="D713"/>
  <c r="D715"/>
  <c r="D717"/>
  <c r="D719"/>
  <c r="D721"/>
  <c r="D723"/>
  <c r="D725"/>
  <c r="D727"/>
  <c r="D729"/>
  <c r="D731"/>
  <c r="D733"/>
  <c r="D735"/>
  <c r="D737"/>
  <c r="D739"/>
  <c r="D741"/>
  <c r="D743"/>
  <c r="D745"/>
  <c r="D747"/>
  <c r="D749"/>
  <c r="D751"/>
  <c r="D753"/>
  <c r="D755"/>
  <c r="D757"/>
  <c r="D759"/>
  <c r="D761"/>
  <c r="D763"/>
  <c r="D765"/>
  <c r="D767"/>
  <c r="D769"/>
  <c r="D771"/>
  <c r="D773"/>
  <c r="D775"/>
  <c r="D777"/>
  <c r="D779"/>
  <c r="D781"/>
  <c r="D783"/>
  <c r="D785"/>
  <c r="D787"/>
  <c r="D789"/>
  <c r="D791"/>
  <c r="D793"/>
  <c r="D795"/>
  <c r="D797"/>
  <c r="D799"/>
  <c r="D801"/>
  <c r="D803"/>
  <c r="D805"/>
  <c r="D807"/>
  <c r="D809"/>
  <c r="D811"/>
  <c r="D813"/>
  <c r="D815"/>
  <c r="D817"/>
  <c r="D819"/>
  <c r="D821"/>
  <c r="D823"/>
  <c r="D825"/>
  <c r="D827"/>
  <c r="D829"/>
  <c r="D831"/>
  <c r="D833"/>
  <c r="D835"/>
  <c r="D837"/>
  <c r="D839"/>
  <c r="D841"/>
  <c r="D843"/>
  <c r="D845"/>
  <c r="D847"/>
  <c r="D849"/>
  <c r="D851"/>
  <c r="D853"/>
  <c r="D855"/>
  <c r="D857"/>
  <c r="D859"/>
  <c r="D861"/>
  <c r="D863"/>
  <c r="D865"/>
  <c r="D867"/>
  <c r="D869"/>
  <c r="D871"/>
  <c r="D873"/>
  <c r="D875"/>
  <c r="D877"/>
  <c r="D879"/>
  <c r="D881"/>
  <c r="D883"/>
  <c r="D885"/>
  <c r="D887"/>
  <c r="D889"/>
  <c r="D891"/>
  <c r="D893"/>
  <c r="D895"/>
  <c r="D897"/>
  <c r="D899"/>
  <c r="D901"/>
  <c r="D903"/>
  <c r="D905"/>
  <c r="D907"/>
  <c r="D909"/>
  <c r="D911"/>
  <c r="D913"/>
  <c r="D915"/>
  <c r="D917"/>
  <c r="D919"/>
  <c r="D921"/>
  <c r="D923"/>
  <c r="D925"/>
  <c r="D927"/>
  <c r="D929"/>
  <c r="D931"/>
  <c r="D933"/>
  <c r="D935"/>
  <c r="D937"/>
  <c r="D939"/>
  <c r="D941"/>
  <c r="D943"/>
  <c r="D945"/>
  <c r="D995"/>
  <c r="D997"/>
  <c r="D999"/>
  <c r="D1001"/>
  <c r="D1003"/>
  <c r="D1005"/>
  <c r="D1007"/>
  <c r="D1009"/>
  <c r="D1011"/>
  <c r="D1013"/>
  <c r="D1015"/>
  <c r="D1017"/>
  <c r="D1019"/>
  <c r="D1021"/>
  <c r="D1023"/>
  <c r="D1025"/>
  <c r="D1027"/>
  <c r="D1029"/>
  <c r="D1031"/>
  <c r="D1033"/>
  <c r="D1035"/>
  <c r="D1037"/>
  <c r="D1039"/>
  <c r="D1041"/>
  <c r="D1043"/>
  <c r="D1045"/>
  <c r="D1047"/>
  <c r="D1049"/>
  <c r="D1051"/>
  <c r="D1053"/>
  <c r="D1055"/>
  <c r="D1057"/>
  <c r="D1059"/>
  <c r="D1061"/>
  <c r="D1063"/>
  <c r="D1065"/>
  <c r="D1067"/>
  <c r="D1069"/>
  <c r="D1071"/>
  <c r="D1073"/>
  <c r="D947"/>
  <c r="D949"/>
  <c r="D951"/>
  <c r="D953"/>
  <c r="D955"/>
  <c r="D957"/>
  <c r="D959"/>
  <c r="D961"/>
  <c r="D963"/>
  <c r="D965"/>
  <c r="D967"/>
  <c r="D969"/>
  <c r="D971"/>
  <c r="D973"/>
  <c r="D975"/>
  <c r="D977"/>
  <c r="D979"/>
  <c r="D981"/>
  <c r="D983"/>
  <c r="D985"/>
  <c r="D987"/>
  <c r="D989"/>
  <c r="D991"/>
  <c r="D993"/>
  <c r="D1075"/>
  <c r="D1077"/>
  <c r="D1079"/>
  <c r="D1081"/>
  <c r="D1083"/>
  <c r="D1085"/>
  <c r="D1087"/>
  <c r="D1089"/>
  <c r="D1091"/>
  <c r="D1093"/>
  <c r="D87"/>
  <c r="D269"/>
  <c r="D287"/>
  <c r="D319"/>
  <c r="D8"/>
  <c r="D10"/>
  <c r="D12"/>
  <c r="D14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D68"/>
  <c r="D70"/>
  <c r="D72"/>
  <c r="D74"/>
  <c r="D76"/>
  <c r="D78"/>
  <c r="D80"/>
  <c r="D82"/>
  <c r="D84"/>
  <c r="D86"/>
  <c r="D88"/>
  <c r="D90"/>
  <c r="D92"/>
  <c r="D94"/>
  <c r="D96"/>
  <c r="D98"/>
  <c r="D100"/>
  <c r="D102"/>
  <c r="D104"/>
  <c r="D106"/>
  <c r="D108"/>
  <c r="D110"/>
  <c r="D112"/>
  <c r="D114"/>
  <c r="D116"/>
  <c r="D118"/>
  <c r="D120"/>
  <c r="D122"/>
  <c r="D124"/>
  <c r="D126"/>
  <c r="D128"/>
  <c r="D130"/>
  <c r="D132"/>
  <c r="D134"/>
  <c r="D136"/>
  <c r="D138"/>
  <c r="D140"/>
  <c r="D142"/>
  <c r="D144"/>
  <c r="D146"/>
  <c r="D148"/>
  <c r="D150"/>
  <c r="D152"/>
  <c r="D154"/>
  <c r="D156"/>
  <c r="D158"/>
  <c r="D160"/>
  <c r="D162"/>
  <c r="D164"/>
  <c r="D166"/>
  <c r="D168"/>
  <c r="D170"/>
  <c r="D172"/>
  <c r="D174"/>
  <c r="D176"/>
  <c r="D178"/>
  <c r="D180"/>
  <c r="D182"/>
  <c r="D184"/>
  <c r="D186"/>
  <c r="D188"/>
  <c r="D190"/>
  <c r="D192"/>
  <c r="D194"/>
  <c r="D196"/>
  <c r="D198"/>
  <c r="D200"/>
  <c r="D202"/>
  <c r="D204"/>
  <c r="D206"/>
  <c r="D208"/>
  <c r="D210"/>
  <c r="D212"/>
  <c r="D214"/>
  <c r="D216"/>
  <c r="D218"/>
  <c r="D220"/>
  <c r="D222"/>
  <c r="D224"/>
  <c r="D226"/>
  <c r="D228"/>
  <c r="D230"/>
  <c r="D232"/>
  <c r="D234"/>
  <c r="D236"/>
  <c r="D238"/>
  <c r="D240"/>
  <c r="D242"/>
  <c r="D244"/>
  <c r="D246"/>
  <c r="D248"/>
  <c r="D250"/>
  <c r="D252"/>
  <c r="D254"/>
  <c r="D256"/>
  <c r="D258"/>
  <c r="D260"/>
  <c r="D262"/>
  <c r="D264"/>
  <c r="D266"/>
  <c r="D268"/>
  <c r="D270"/>
  <c r="D272"/>
  <c r="D274"/>
  <c r="D276"/>
  <c r="D278"/>
  <c r="D280"/>
  <c r="D282"/>
  <c r="D284"/>
  <c r="D286"/>
  <c r="D288"/>
  <c r="D290"/>
  <c r="D292"/>
  <c r="D294"/>
  <c r="D296"/>
  <c r="D298"/>
  <c r="D300"/>
  <c r="D302"/>
  <c r="D304"/>
  <c r="D306"/>
  <c r="D308"/>
  <c r="D310"/>
  <c r="D312"/>
  <c r="D314"/>
  <c r="D316"/>
  <c r="D318"/>
  <c r="D320"/>
  <c r="D322"/>
  <c r="D324"/>
  <c r="D326"/>
  <c r="D328"/>
  <c r="D330"/>
  <c r="D332"/>
  <c r="D334"/>
  <c r="D336"/>
  <c r="D338"/>
  <c r="D340"/>
  <c r="D342"/>
  <c r="D344"/>
  <c r="D346"/>
  <c r="D348"/>
  <c r="D350"/>
  <c r="D352"/>
  <c r="D354"/>
  <c r="D356"/>
  <c r="D358"/>
  <c r="D360"/>
  <c r="D362"/>
  <c r="D364"/>
  <c r="D366"/>
  <c r="D368"/>
  <c r="D370"/>
  <c r="D372"/>
  <c r="D374"/>
  <c r="D376"/>
  <c r="D378"/>
  <c r="D380"/>
  <c r="D382"/>
  <c r="D384"/>
  <c r="D386"/>
  <c r="D388"/>
  <c r="D390"/>
  <c r="D392"/>
  <c r="D394"/>
  <c r="D396"/>
  <c r="D398"/>
  <c r="D400"/>
  <c r="D402"/>
  <c r="D404"/>
  <c r="D406"/>
  <c r="D408"/>
  <c r="D410"/>
  <c r="D412"/>
  <c r="D414"/>
  <c r="D416"/>
  <c r="D418"/>
  <c r="D420"/>
  <c r="D422"/>
  <c r="D424"/>
  <c r="D426"/>
  <c r="D428"/>
  <c r="D430"/>
  <c r="D432"/>
  <c r="D434"/>
  <c r="D436"/>
  <c r="D438"/>
  <c r="D440"/>
  <c r="D442"/>
  <c r="D444"/>
  <c r="D446"/>
  <c r="D448"/>
  <c r="D450"/>
  <c r="D452"/>
  <c r="D454"/>
  <c r="D456"/>
  <c r="D458"/>
  <c r="D460"/>
  <c r="D462"/>
  <c r="D464"/>
  <c r="D466"/>
  <c r="D468"/>
  <c r="D470"/>
  <c r="D472"/>
  <c r="D474"/>
  <c r="D476"/>
  <c r="D478"/>
  <c r="D480"/>
  <c r="D482"/>
  <c r="D484"/>
  <c r="D486"/>
  <c r="D488"/>
  <c r="D490"/>
  <c r="D492"/>
  <c r="D494"/>
  <c r="D496"/>
  <c r="D498"/>
  <c r="D500"/>
  <c r="D502"/>
  <c r="D504"/>
  <c r="D506"/>
  <c r="D508"/>
  <c r="D510"/>
  <c r="D512"/>
  <c r="D514"/>
  <c r="D516"/>
  <c r="D518"/>
  <c r="D520"/>
  <c r="D522"/>
  <c r="D524"/>
  <c r="D526"/>
  <c r="D528"/>
  <c r="D530"/>
  <c r="D532"/>
  <c r="D534"/>
  <c r="D536"/>
  <c r="D538"/>
  <c r="D540"/>
  <c r="D542"/>
  <c r="D544"/>
  <c r="D546"/>
  <c r="D548"/>
  <c r="D550"/>
  <c r="D552"/>
  <c r="D554"/>
  <c r="D556"/>
  <c r="D558"/>
  <c r="D560"/>
  <c r="D562"/>
  <c r="D564"/>
  <c r="D566"/>
  <c r="D568"/>
  <c r="D570"/>
  <c r="D572"/>
  <c r="D574"/>
  <c r="D576"/>
  <c r="D578"/>
  <c r="D580"/>
  <c r="D582"/>
  <c r="D101"/>
  <c r="D229"/>
  <c r="D275"/>
  <c r="D389"/>
  <c r="D405"/>
  <c r="D584"/>
  <c r="D586"/>
  <c r="D588"/>
  <c r="D590"/>
  <c r="D592"/>
  <c r="D594"/>
  <c r="D596"/>
  <c r="D598"/>
  <c r="D600"/>
  <c r="D602"/>
  <c r="D604"/>
  <c r="D606"/>
  <c r="D608"/>
  <c r="D610"/>
  <c r="D612"/>
  <c r="D614"/>
  <c r="D616"/>
  <c r="D618"/>
  <c r="D620"/>
  <c r="D622"/>
  <c r="D624"/>
  <c r="D626"/>
  <c r="D628"/>
  <c r="D630"/>
  <c r="D632"/>
  <c r="D634"/>
  <c r="D636"/>
  <c r="D638"/>
  <c r="D640"/>
  <c r="D642"/>
  <c r="D644"/>
  <c r="D646"/>
  <c r="D648"/>
  <c r="D650"/>
  <c r="D652"/>
  <c r="D654"/>
  <c r="D656"/>
  <c r="D658"/>
  <c r="D660"/>
  <c r="D662"/>
  <c r="D664"/>
  <c r="D666"/>
  <c r="D668"/>
  <c r="D670"/>
  <c r="D672"/>
  <c r="D674"/>
  <c r="D676"/>
  <c r="D678"/>
  <c r="D680"/>
  <c r="D682"/>
  <c r="D684"/>
  <c r="D686"/>
  <c r="D688"/>
  <c r="D690"/>
  <c r="D692"/>
  <c r="D694"/>
  <c r="D696"/>
  <c r="D698"/>
  <c r="D700"/>
  <c r="D702"/>
  <c r="D704"/>
  <c r="D706"/>
  <c r="D708"/>
  <c r="D710"/>
  <c r="D712"/>
  <c r="D714"/>
  <c r="D716"/>
  <c r="D718"/>
  <c r="D720"/>
  <c r="D722"/>
  <c r="D724"/>
  <c r="D726"/>
  <c r="D728"/>
  <c r="D730"/>
  <c r="D732"/>
  <c r="D734"/>
  <c r="D736"/>
  <c r="D738"/>
  <c r="D740"/>
  <c r="D742"/>
  <c r="D744"/>
  <c r="D746"/>
  <c r="D748"/>
  <c r="D750"/>
  <c r="D752"/>
  <c r="D754"/>
  <c r="D756"/>
  <c r="D758"/>
  <c r="D760"/>
  <c r="D762"/>
  <c r="D764"/>
  <c r="D766"/>
  <c r="D768"/>
  <c r="D770"/>
  <c r="D772"/>
  <c r="D774"/>
  <c r="D776"/>
  <c r="D778"/>
  <c r="D780"/>
  <c r="D782"/>
  <c r="D784"/>
  <c r="D786"/>
  <c r="D788"/>
  <c r="D790"/>
  <c r="D792"/>
  <c r="D794"/>
  <c r="D796"/>
  <c r="D798"/>
  <c r="D800"/>
  <c r="D802"/>
  <c r="D804"/>
  <c r="D806"/>
  <c r="D808"/>
  <c r="D810"/>
  <c r="D812"/>
  <c r="D814"/>
  <c r="D816"/>
  <c r="D818"/>
  <c r="D820"/>
  <c r="D822"/>
  <c r="D824"/>
  <c r="D826"/>
  <c r="D828"/>
  <c r="D830"/>
  <c r="D832"/>
  <c r="D834"/>
  <c r="D836"/>
  <c r="D838"/>
  <c r="D840"/>
  <c r="D842"/>
  <c r="D844"/>
  <c r="D846"/>
  <c r="D848"/>
  <c r="D850"/>
  <c r="D852"/>
  <c r="D854"/>
  <c r="D856"/>
  <c r="D858"/>
  <c r="D860"/>
  <c r="D862"/>
  <c r="D864"/>
  <c r="D866"/>
  <c r="D868"/>
  <c r="D870"/>
  <c r="D872"/>
  <c r="D874"/>
  <c r="D876"/>
  <c r="D878"/>
  <c r="D880"/>
  <c r="D882"/>
  <c r="D884"/>
  <c r="D886"/>
  <c r="D888"/>
  <c r="D890"/>
  <c r="D892"/>
  <c r="D894"/>
  <c r="D896"/>
  <c r="D898"/>
  <c r="D900"/>
  <c r="D902"/>
  <c r="D904"/>
  <c r="D906"/>
  <c r="D908"/>
  <c r="D910"/>
  <c r="D912"/>
  <c r="D914"/>
  <c r="D916"/>
  <c r="D918"/>
  <c r="D920"/>
  <c r="D922"/>
  <c r="D924"/>
  <c r="D926"/>
  <c r="D928"/>
  <c r="D930"/>
  <c r="D932"/>
  <c r="D934"/>
  <c r="D936"/>
  <c r="D938"/>
  <c r="D940"/>
  <c r="D942"/>
  <c r="D944"/>
  <c r="D946"/>
  <c r="D948"/>
  <c r="D950"/>
  <c r="D952"/>
  <c r="D954"/>
  <c r="D956"/>
  <c r="D958"/>
  <c r="D960"/>
  <c r="D962"/>
  <c r="D964"/>
  <c r="D966"/>
  <c r="D968"/>
  <c r="D970"/>
  <c r="D972"/>
  <c r="D974"/>
  <c r="D976"/>
  <c r="D978"/>
  <c r="D980"/>
  <c r="D982"/>
  <c r="D984"/>
  <c r="D986"/>
  <c r="D988"/>
  <c r="D990"/>
  <c r="D992"/>
  <c r="D994"/>
  <c r="D996"/>
  <c r="D998"/>
  <c r="D1000"/>
  <c r="D1002"/>
  <c r="D1004"/>
  <c r="D1006"/>
  <c r="D1008"/>
  <c r="D1010"/>
  <c r="D1012"/>
  <c r="D1014"/>
  <c r="D1016"/>
  <c r="D1018"/>
  <c r="D1020"/>
  <c r="D1022"/>
  <c r="D1024"/>
  <c r="D1026"/>
  <c r="D1028"/>
  <c r="D1030"/>
  <c r="D1032"/>
  <c r="D1034"/>
  <c r="D1036"/>
  <c r="D1038"/>
  <c r="D1040"/>
  <c r="D1042"/>
  <c r="D1044"/>
  <c r="D1046"/>
  <c r="D1048"/>
  <c r="D1050"/>
  <c r="D1052"/>
  <c r="D1054"/>
  <c r="D1056"/>
  <c r="D1058"/>
  <c r="D1060"/>
  <c r="D1062"/>
  <c r="D1064"/>
  <c r="D1066"/>
  <c r="D1068"/>
  <c r="D1070"/>
  <c r="D1072"/>
  <c r="D1074"/>
  <c r="D1076"/>
  <c r="D1078"/>
  <c r="D1080"/>
  <c r="D1082"/>
  <c r="D1084"/>
  <c r="D1086"/>
  <c r="D1088"/>
  <c r="D1090"/>
  <c r="D1092"/>
  <c r="D1094"/>
  <c r="F3"/>
  <c r="G3"/>
  <c r="D6"/>
  <c r="E3"/>
  <c r="G3" i="9" l="1"/>
  <c r="G3" i="8"/>
</calcChain>
</file>

<file path=xl/sharedStrings.xml><?xml version="1.0" encoding="utf-8"?>
<sst xmlns="http://schemas.openxmlformats.org/spreadsheetml/2006/main" count="3344" uniqueCount="1191">
  <si>
    <t>C</t>
  </si>
  <si>
    <t>A</t>
  </si>
  <si>
    <t>Nro Pallet</t>
  </si>
  <si>
    <t>Camara</t>
  </si>
  <si>
    <t>Linea</t>
  </si>
  <si>
    <t>Columna</t>
  </si>
  <si>
    <t>Nivel</t>
  </si>
  <si>
    <t>Cod</t>
  </si>
  <si>
    <t>N.P</t>
  </si>
  <si>
    <t>Ordenamiento 1</t>
  </si>
  <si>
    <t>Ordenamiento 2</t>
  </si>
  <si>
    <t>MOLLEJA SWIFT GARGANTA</t>
  </si>
  <si>
    <t>CARNES VARIAS</t>
  </si>
  <si>
    <t>MENUDENCIAS</t>
  </si>
  <si>
    <t>CHINCHULIN CIMMINO CONGELADO</t>
  </si>
  <si>
    <t>COMPESACION</t>
  </si>
  <si>
    <t>CHQ RECH Y OTROS</t>
  </si>
  <si>
    <t>VARIOS</t>
  </si>
  <si>
    <t>HIGADO SWIFT CONGELADO</t>
  </si>
  <si>
    <t>LENGUA CIMMINO CONGELADA</t>
  </si>
  <si>
    <t>MOLLEJA CIMMINO CONGELADA</t>
  </si>
  <si>
    <t>LENGUA RAFAELA</t>
  </si>
  <si>
    <t>MONDONGO CIMMINO CUBETEADO CONGELADO</t>
  </si>
  <si>
    <t>CHEQUE  RECHAZADO</t>
  </si>
  <si>
    <t>RABO CIMMINO CONGELADO</t>
  </si>
  <si>
    <t>RIÑON CIMMINO CONGELADO</t>
  </si>
  <si>
    <t>SESO CIMMINO CONGELADO</t>
  </si>
  <si>
    <t>TENDON CIMMINO CONGELADO</t>
  </si>
  <si>
    <t>CORAZON LARIO CONGELADO</t>
  </si>
  <si>
    <t>UBRE CIMMINO CONGELADA</t>
  </si>
  <si>
    <t>CHINCHULIN SWIFT CONGELADO</t>
  </si>
  <si>
    <t>CORAZON CIMMINO CONGELADO</t>
  </si>
  <si>
    <t>MONDONGO SWIFT</t>
  </si>
  <si>
    <t>RIÑON RECREO CONGELADO.</t>
  </si>
  <si>
    <t>MOLLEJA SWIFT CORAZON</t>
  </si>
  <si>
    <t>CORAZON FRESCO</t>
  </si>
  <si>
    <t>CORAZON SWIFT CONGELADO</t>
  </si>
  <si>
    <t>MONDONGO CIMMINO</t>
  </si>
  <si>
    <t>MOLLEJA RAFAELA CONGELADA</t>
  </si>
  <si>
    <t>RIÑON SWIFT CONGELADO</t>
  </si>
  <si>
    <t>HIGADO CIMMINO</t>
  </si>
  <si>
    <t>CHINCHULIN RECREO CONGELADO</t>
  </si>
  <si>
    <t>MONDONGO FRESCO</t>
  </si>
  <si>
    <t>HIGADO FRESCO</t>
  </si>
  <si>
    <t>LENGUA FRESCA.</t>
  </si>
  <si>
    <t>SESO FRESCO</t>
  </si>
  <si>
    <t>CHINCHULIN FRESCO</t>
  </si>
  <si>
    <t>MOLLEJA FRESCA</t>
  </si>
  <si>
    <t>TENDON FRESCO</t>
  </si>
  <si>
    <t>JUEGO DE ACHURAS</t>
  </si>
  <si>
    <t>LECHON LAVALLE</t>
  </si>
  <si>
    <t>GRANJA</t>
  </si>
  <si>
    <t>CARNE CERDO</t>
  </si>
  <si>
    <t>BONDIOLA CERDO EL PICHON</t>
  </si>
  <si>
    <t>BONDIOLA CERDO FRIDECO</t>
  </si>
  <si>
    <t>MATAMBRITO CERDO MAGRET</t>
  </si>
  <si>
    <t>CHURRASQUITO CERDO FRIDECO</t>
  </si>
  <si>
    <t>CUERO CERDO MAGRET</t>
  </si>
  <si>
    <t>HUESO CERDO MAGRET</t>
  </si>
  <si>
    <t>JAMON CERDO MAGRET</t>
  </si>
  <si>
    <t>CARRE CERDO S/HUESO EL PICHON</t>
  </si>
  <si>
    <t>MATAMBRITO CERDO FRIDECO</t>
  </si>
  <si>
    <t>PANCETA SALADA LA RESOLANA</t>
  </si>
  <si>
    <t>PATITA CERDO FRIDECO</t>
  </si>
  <si>
    <t>PECHO C/MAN. CERDO MAGRET</t>
  </si>
  <si>
    <t>RABO CERDO FRIDECO</t>
  </si>
  <si>
    <t>CHURRASQUITO CERDO MAGRET</t>
  </si>
  <si>
    <t>COSTILLITAS DE CERDO.</t>
  </si>
  <si>
    <t>CARRE CERDO FRIDECO</t>
  </si>
  <si>
    <t>PECHO C/MAN. CERDO FRIDECO</t>
  </si>
  <si>
    <t>CARRE CERDO MAGRET</t>
  </si>
  <si>
    <t>BONDIOLA CERDO MAGRET</t>
  </si>
  <si>
    <t>BONDIOLA CERDO QUALITA</t>
  </si>
  <si>
    <t>PALETA CERDO FRIDECO C/HUESO</t>
  </si>
  <si>
    <t>JAMON CERDO FRIDECO</t>
  </si>
  <si>
    <t>RABO CERDO LARIO</t>
  </si>
  <si>
    <t>CARRE CERDO S/HUESO FRIDECO</t>
  </si>
  <si>
    <t>CARRE CERDO LARIO</t>
  </si>
  <si>
    <t>CARRE CERDO S/HUESO MAGRET</t>
  </si>
  <si>
    <t>COSTELETAS DE CERDO</t>
  </si>
  <si>
    <t>CARRE CERDO QUALITA</t>
  </si>
  <si>
    <t>MATAMBRITO CERDO EL PICHON</t>
  </si>
  <si>
    <t>CHURRASQUITO CERDO EL PICHON</t>
  </si>
  <si>
    <t>CUERO CERDO QUALITA RECORTES</t>
  </si>
  <si>
    <t>MATAMBRITO CERDO LARIO</t>
  </si>
  <si>
    <t>CHURRASQUITO CERDO LARIO</t>
  </si>
  <si>
    <t>CARRE CERDO S/HUESO LARIO</t>
  </si>
  <si>
    <t>CHORIZO BEPA COMUN</t>
  </si>
  <si>
    <t>EMBUTIDOS</t>
  </si>
  <si>
    <t>CHORIZO BEPA COPETIN</t>
  </si>
  <si>
    <t>CHORIZO BEPA CUYANO</t>
  </si>
  <si>
    <t>MORCILLA BEPA CRIOLLA.</t>
  </si>
  <si>
    <t>MORCILLA BEPA VALENCIANA COPETÍN.</t>
  </si>
  <si>
    <t>MORCILLA BEPA VALENCIANA CUYANA.</t>
  </si>
  <si>
    <t>SALCHICHA BEPA FRESCA.</t>
  </si>
  <si>
    <t>CHORIZO LA RESOLANA PURO CERDO</t>
  </si>
  <si>
    <t>CORDERO ASADO DE</t>
  </si>
  <si>
    <t>CARNE CORDERO</t>
  </si>
  <si>
    <t>CORDERO PALETA DE</t>
  </si>
  <si>
    <t>CORDERO ENTERO HASTA 16 KG.</t>
  </si>
  <si>
    <t>CORDERO PIERNA DE</t>
  </si>
  <si>
    <t>POLLO GRANJERO DESHUESADO</t>
  </si>
  <si>
    <t>AVES</t>
  </si>
  <si>
    <t>POLLO</t>
  </si>
  <si>
    <t>POLLO* &amp;TRES ARROYOS x 20 KG</t>
  </si>
  <si>
    <t>BROCHET DE POLLO X 4</t>
  </si>
  <si>
    <t>POLLO TROZADO</t>
  </si>
  <si>
    <t>POLLO* &amp;P/OPERACIONES ESPECIALES.</t>
  </si>
  <si>
    <t>RANCHO DE POLLO</t>
  </si>
  <si>
    <t>HAMBURGUESAS DE POLLO</t>
  </si>
  <si>
    <t>POLLO GRANJERO</t>
  </si>
  <si>
    <t>POLLO X KG</t>
  </si>
  <si>
    <t>SUPREMA DE POLLO SADIA</t>
  </si>
  <si>
    <t>PECHUGA POLLO GRANJERO</t>
  </si>
  <si>
    <t>POLLO SADIA CONGELADO X 20 KG.</t>
  </si>
  <si>
    <t>CUARTO* &amp;TRASERO POLLO TRES ARR.CONG.</t>
  </si>
  <si>
    <t>CUARTO TRASERO GRANJERO FRESCO</t>
  </si>
  <si>
    <t>SUPREMA*&amp; DE POLLO TRES ARROYOS CONG.X 10 IQF</t>
  </si>
  <si>
    <t>PATA POLLO TRES ARROYOS</t>
  </si>
  <si>
    <t>SUPREMA*&amp; DE POLLO TRES ARROYOS CONG.X 5 KG</t>
  </si>
  <si>
    <t>MILANESAS DE POLLO GRANJERO</t>
  </si>
  <si>
    <t>ALAS DE POLLO MAYORISTA</t>
  </si>
  <si>
    <t>MENUDOS POLLO</t>
  </si>
  <si>
    <t>CUARTO TRASERO POLLO X KG</t>
  </si>
  <si>
    <t>SUPREMA DE POLLO X KG</t>
  </si>
  <si>
    <t>PATAMUSLO SADIA S/PIEL S/HUESO</t>
  </si>
  <si>
    <t>BIFE DE CHORIZO CARNES PAMPEANAS A/V</t>
  </si>
  <si>
    <t>CARNE VACUNA</t>
  </si>
  <si>
    <t>CARNE AL VACIO</t>
  </si>
  <si>
    <t>BOLLO DE ENTRAÑA CIMMINO</t>
  </si>
  <si>
    <t>GARRON CARNES PAMPEANAS A/V</t>
  </si>
  <si>
    <t>BOLA DE LOMO FETEADA SWIFT A/V.</t>
  </si>
  <si>
    <t>TAPA DE ASADO QUICKFOOD A/V</t>
  </si>
  <si>
    <t>RECORTES VACUNOS ECOCARNES A/V</t>
  </si>
  <si>
    <t>TAPA DE ASADO SWIFT A/V</t>
  </si>
  <si>
    <t>TORTUGUITA RAFAELA A/V</t>
  </si>
  <si>
    <t>PECETO RAFAELA A/V</t>
  </si>
  <si>
    <t>CUADRADA FETEADA NUEVA ESCOCIA A/V</t>
  </si>
  <si>
    <t>NALGA C/TAPA CARNES PAMPEANAS A/V</t>
  </si>
  <si>
    <t>BROCHETTE CARNES PAMPEANAS</t>
  </si>
  <si>
    <t>RECORTES VACUNOS LOGROS</t>
  </si>
  <si>
    <t>TORTUGUITA CARNES PAMPEANAS A/V</t>
  </si>
  <si>
    <t>PALOMITA SWIFT A/V</t>
  </si>
  <si>
    <t>PECETO SWIFT A/V</t>
  </si>
  <si>
    <t>NALGA S/TAPA SWIFT A/V.</t>
  </si>
  <si>
    <t>MANTA TORO</t>
  </si>
  <si>
    <t>GARRON NUEVA ESCOCIA A/V</t>
  </si>
  <si>
    <t>ASADO</t>
  </si>
  <si>
    <t>CARNE DESPOSTADA</t>
  </si>
  <si>
    <t>ASADO C/V. Y M. RIOPLATENSE</t>
  </si>
  <si>
    <t>CARNE POR PIEZA</t>
  </si>
  <si>
    <t>MATAMBRE LOGROS A/V</t>
  </si>
  <si>
    <t>ENTRAÑA NUEVA ESCOCIA A/V</t>
  </si>
  <si>
    <t>PALETA LOGROS A/V</t>
  </si>
  <si>
    <t>GARRON LOGROS A/V</t>
  </si>
  <si>
    <t>CUADRADA FETEADA CARNES PAMPEANAS A/V.</t>
  </si>
  <si>
    <t>TAPA DE CUADRIL LOGROS A/V</t>
  </si>
  <si>
    <t>COLITA DE CUADRIL LAS LILAS  A/V</t>
  </si>
  <si>
    <t>VACIO RAFAELA A/V</t>
  </si>
  <si>
    <t>BOLA DE LOMO FETEADA RAFAELA A/V</t>
  </si>
  <si>
    <t>COLITA DE CUADRIL SWIFT A/V</t>
  </si>
  <si>
    <t>BOLA DE LOMO CARNES PAMPEANAS A/V.</t>
  </si>
  <si>
    <t>NALGA C/TAPA LOGROS A/V</t>
  </si>
  <si>
    <t>BIFE DE CHORIZO SWIFT A/V</t>
  </si>
  <si>
    <t>CUADRADA CARNES PAMPEANAS A/V.</t>
  </si>
  <si>
    <t>GARRON RECREO A/V</t>
  </si>
  <si>
    <t>OJO DE BIFE LAS LILAS A/V</t>
  </si>
  <si>
    <t>COLITA DE CUADRIL RAFAELA A/V</t>
  </si>
  <si>
    <t>BOLA DE LOMO LOGROS</t>
  </si>
  <si>
    <t>AGUJA QUICKFOOD A/V</t>
  </si>
  <si>
    <t>ARAÑITA CARNES PAMPEANAS</t>
  </si>
  <si>
    <t>CUADRADA PLATE A/V.</t>
  </si>
  <si>
    <t>NALGA FETEADA QUICKFOOD A/V</t>
  </si>
  <si>
    <t>PALETA RAFAELA A/V</t>
  </si>
  <si>
    <t>VACIO QUICKFOOD A/V</t>
  </si>
  <si>
    <t>OJO DE BIFE SWIFT CONGELADO</t>
  </si>
  <si>
    <t>PECETO FETEADO SWIFT A/V</t>
  </si>
  <si>
    <t>NALGA S/TAPA CARNES PAMPEANAS A/V</t>
  </si>
  <si>
    <t>BIFE DE CHORIZO LOGROS A/V</t>
  </si>
  <si>
    <t>OJO DE BIFE LOGROS A/V</t>
  </si>
  <si>
    <t>BOLA DE LOMO SWIFT A/V</t>
  </si>
  <si>
    <t>CUADRADA SWIFT A/V</t>
  </si>
  <si>
    <t>PECETO LOGROS A/V</t>
  </si>
  <si>
    <t>PALETA QUICKFOOD FETEADA A/V</t>
  </si>
  <si>
    <t>COLITA DE CUADRIL LOGROS A/V</t>
  </si>
  <si>
    <t>TAPA DE NALGA CARNES PAMPEANAS A/V</t>
  </si>
  <si>
    <t>CUADRIL LOGROS A/V</t>
  </si>
  <si>
    <t>MARUCHA CARNES PAMPEANAS A/V</t>
  </si>
  <si>
    <t>PALETA PLATE A/V</t>
  </si>
  <si>
    <t>NALGA FETEADA SWIFT A/V</t>
  </si>
  <si>
    <t>ROAST BEEF LOGROS A/V</t>
  </si>
  <si>
    <t>CENTRO DE CUADRIL CARNES PAMPEANAS</t>
  </si>
  <si>
    <t>COGOTE RECREO</t>
  </si>
  <si>
    <t>PALETA CARNES PAMPEANAS A/V</t>
  </si>
  <si>
    <t>PALETA SWIFT C/RUSO A/V</t>
  </si>
  <si>
    <t>TRIMMING RECREO</t>
  </si>
  <si>
    <t>CUADRIL PLATE CONGELADO</t>
  </si>
  <si>
    <t>VACIO SWIFT A/V</t>
  </si>
  <si>
    <t>TORTUGUITA LOGROS A/V</t>
  </si>
  <si>
    <t>MEDIA RES NOVILLO CARNES PAMPEANAS S/R</t>
  </si>
  <si>
    <t>DELANTERO CARNES PAMPEANAS</t>
  </si>
  <si>
    <t>MEDIA RES NOVILLO RIOPLATENSE S/R</t>
  </si>
  <si>
    <t>MEDIA RES NOVILLITO SWIFT</t>
  </si>
  <si>
    <t>MEDIA RES NOVILLO SWIFT S/RAL</t>
  </si>
  <si>
    <t>MEDIA RES NOVILLO CARNES PAMPEANAS</t>
  </si>
  <si>
    <t>MEDIA RES NOVILLO LOGROS</t>
  </si>
  <si>
    <t>RUEDA SWIFT VACA</t>
  </si>
  <si>
    <t>ASADO C/V. Y M. QUICKFOOD</t>
  </si>
  <si>
    <t>BIFE LA BLANCA C/HUESO</t>
  </si>
  <si>
    <t>DELANTERO DESHUESADO RECREO</t>
  </si>
  <si>
    <t>PECHO A 3 COSTILLAS RIOPLATENSE</t>
  </si>
  <si>
    <t>ASADO C/V. Y M. CARNES PAMPEANAS</t>
  </si>
  <si>
    <t>DELANTERO SWIFT (CHABRERA)</t>
  </si>
  <si>
    <t>PECHO A 3 COSTILLAS LOGROS</t>
  </si>
  <si>
    <t>PECHO A 3 COSTILLAS SWIFT</t>
  </si>
  <si>
    <t>ASADO C/V. Y M. LOGROS</t>
  </si>
  <si>
    <t>PECHO A 3 COSTILLAS CARNES PAMPEANAS</t>
  </si>
  <si>
    <t>ASADO COSTILLAR COMPLETO CONGELADO</t>
  </si>
  <si>
    <t>ASADO DE BIFE</t>
  </si>
  <si>
    <t>ASADO DEL CARNICERO.</t>
  </si>
  <si>
    <t>COSTILLAS MINORISTA</t>
  </si>
  <si>
    <t>COSTELETA ANCHA MAYORISTA</t>
  </si>
  <si>
    <t>COSTELETA ANGOSTA MAYORISTA</t>
  </si>
  <si>
    <t>COSTELETA C/FILET</t>
  </si>
  <si>
    <t>BIFE DE CHORIZO MAYORISTA</t>
  </si>
  <si>
    <t>BOLA DE LOMO FETEADA MAYORISTA.</t>
  </si>
  <si>
    <t>BOLA DE LOMO MAYORISTA</t>
  </si>
  <si>
    <t>CARNAZA COMUN MAYORISTA</t>
  </si>
  <si>
    <t>CHIQUIZUELA</t>
  </si>
  <si>
    <t>ASADO RUSO MAYORISTA FETEADO</t>
  </si>
  <si>
    <t>COLITA DE CUADRIL MAYORISTA</t>
  </si>
  <si>
    <t>CUADRIL MINORISTA</t>
  </si>
  <si>
    <t>CUADRADA MAYORISTA</t>
  </si>
  <si>
    <t>CUADRIL MAYORISTA</t>
  </si>
  <si>
    <t>ENTRAÑA MAYORISTA</t>
  </si>
  <si>
    <t>HUESO DE COGOTE MAYORISTA</t>
  </si>
  <si>
    <t>FALDA MAYORISTA</t>
  </si>
  <si>
    <t>GRASA PELLA</t>
  </si>
  <si>
    <t>GRASA PICADA</t>
  </si>
  <si>
    <t>HUESO C/CARNE</t>
  </si>
  <si>
    <t>HUESO COMUN</t>
  </si>
  <si>
    <t>FILET MAYORISTA.</t>
  </si>
  <si>
    <t>ASADO RUSO MAYORISTA</t>
  </si>
  <si>
    <t>MATAMBRE MAYORISTA</t>
  </si>
  <si>
    <t>NALGA C/TAPA MAYORISTA.</t>
  </si>
  <si>
    <t>NALGA S/TAPA</t>
  </si>
  <si>
    <t>NALGA FETEADA MAYORISTA</t>
  </si>
  <si>
    <t>OJO DE BIFE MAYORISTA</t>
  </si>
  <si>
    <t>OSOBUCO MAYORISTA</t>
  </si>
  <si>
    <t>PALETA EN CHURRASCOS</t>
  </si>
  <si>
    <t>PALETA MAYORISTA</t>
  </si>
  <si>
    <t>PALOMITA MAYORISTA</t>
  </si>
  <si>
    <t>PECETO FETEADO</t>
  </si>
  <si>
    <t>PECETO MAYORISTA.</t>
  </si>
  <si>
    <t>PICADA COMUN MAYORISTA.</t>
  </si>
  <si>
    <t>PICADA COMUN MINORISTA</t>
  </si>
  <si>
    <t>PICADA ESPECIAL MAYORISTA</t>
  </si>
  <si>
    <t>PICADA ESPECIAL MINORISTA</t>
  </si>
  <si>
    <t>PUNTA DE ESPALDA</t>
  </si>
  <si>
    <t>ROAST BEEF MAYORISTA</t>
  </si>
  <si>
    <t>SEBO</t>
  </si>
  <si>
    <t>TAPA DE ASADO MAYORISTA</t>
  </si>
  <si>
    <t>PUNTA DE PIERNA</t>
  </si>
  <si>
    <t>TAPA DE NALGA MAYORISTA</t>
  </si>
  <si>
    <t>TORTUGUITA MAYORISTA</t>
  </si>
  <si>
    <t>VACIO MAYORISTA</t>
  </si>
  <si>
    <t>PIERNA COMPLETA NOVILLO</t>
  </si>
  <si>
    <t>MAROTILLA MAYORISTA</t>
  </si>
  <si>
    <t>ASADO COMPLETO MAYORISTA</t>
  </si>
  <si>
    <t>ASADO COMPLETO DESPOSTADO MAYORISTA</t>
  </si>
  <si>
    <t>COSTILLAS PLANCHA COMPLETA MAYORISTA</t>
  </si>
  <si>
    <t>COSTELETA ANCHA MINORISTA</t>
  </si>
  <si>
    <t>COSTELETA ANGOSTA MINORISTA</t>
  </si>
  <si>
    <t>BIFE DE CHORIZO MINORISTA</t>
  </si>
  <si>
    <t>BOLA DE LOMO FETEADA MINORISTA.</t>
  </si>
  <si>
    <t>BOLA DE LOMO MINORISTA</t>
  </si>
  <si>
    <t>CARNAZA COMUN MINORISTA</t>
  </si>
  <si>
    <t>COLITA DE CUADRIL MINORISTA</t>
  </si>
  <si>
    <t>CUADRADA FETEADA MINORISTA</t>
  </si>
  <si>
    <t>CUADRADA MINORISTA</t>
  </si>
  <si>
    <t>MOCHO NOVILLO</t>
  </si>
  <si>
    <t>RUEDA NOVILLO</t>
  </si>
  <si>
    <t>ENTRAÑA MINORISTA</t>
  </si>
  <si>
    <t>HUESO DE COGOTE MINORISTA</t>
  </si>
  <si>
    <t>FALDA MINORISTA</t>
  </si>
  <si>
    <t>FILET MINORISTA.</t>
  </si>
  <si>
    <t>ASADO RUSO MINORISTA</t>
  </si>
  <si>
    <t>MATAMBRE MINORISTA</t>
  </si>
  <si>
    <t>NALGA C/TAPA MINORISTA.</t>
  </si>
  <si>
    <t>NALGA FETEADA MINORISTA</t>
  </si>
  <si>
    <t>OJO DE BIFE MINORISTA</t>
  </si>
  <si>
    <t>OSOBUCO MINORISTA</t>
  </si>
  <si>
    <t>PALETA MINORISTA</t>
  </si>
  <si>
    <t>PALOMITA MINORISTA</t>
  </si>
  <si>
    <t>PECETO MINORISTA.</t>
  </si>
  <si>
    <t>PECHO A 3 COSTILLAS</t>
  </si>
  <si>
    <t>ROAST BEEF MINORISTA</t>
  </si>
  <si>
    <t>TAPA DE ASADO MINORISTA</t>
  </si>
  <si>
    <t>TAPA DE NALGA MINORISTA</t>
  </si>
  <si>
    <t>TORTUGUITA MINORISTA</t>
  </si>
  <si>
    <t>VACIO MINORISTA</t>
  </si>
  <si>
    <t>ROAST BEEF RAFAELA A/V</t>
  </si>
  <si>
    <t>AZOTILLO SWIFT</t>
  </si>
  <si>
    <t>CARRE CERDO EL PICHON</t>
  </si>
  <si>
    <t>ALAS DE POLLO TRES ARROYOS BANDEJA</t>
  </si>
  <si>
    <t>SUPREMA DE POLLO GRANJERO</t>
  </si>
  <si>
    <t>BIFE ANCHO C/TAPA PLATE A/V</t>
  </si>
  <si>
    <t>PATITA CERDO MAGRET</t>
  </si>
  <si>
    <t>RUEDA NOVILLO DESPOSTADA</t>
  </si>
  <si>
    <t>RUEDA NOVILLO SIN HUESO</t>
  </si>
  <si>
    <t>TAPA DE NALGA QUICKFOOD A/V.</t>
  </si>
  <si>
    <t>NALGA S/TAPA RAFAELA A/V</t>
  </si>
  <si>
    <t>BONDIOLA CERDO PALADINI</t>
  </si>
  <si>
    <t>RUEDA CARNES PAMPEANAS</t>
  </si>
  <si>
    <t>ASADO C/V. Y M. SWIFT</t>
  </si>
  <si>
    <t>POLLO GRANJERO SIN MENUDOS</t>
  </si>
  <si>
    <t>FALDA CARNES PAMPEANAS S/HUESO</t>
  </si>
  <si>
    <t>TRASERO DESHUESADO RECREO</t>
  </si>
  <si>
    <t>TAPA DE NALGA RAFAELA  A/V</t>
  </si>
  <si>
    <t>NALGA FETEADA CARNES PAMPEANAS A/V</t>
  </si>
  <si>
    <t>DELANTERO LOGROS</t>
  </si>
  <si>
    <t>CUERO CERDO FRIDECO</t>
  </si>
  <si>
    <t>MATAMBRE SWIFT CONGELADO</t>
  </si>
  <si>
    <t>LOMO C/CORDON CARNES PAMPEANAS  A/V</t>
  </si>
  <si>
    <t>PECETO FETEADO CARNES PAMPEANAS A/V</t>
  </si>
  <si>
    <t>OJO DE BIFE CARNES PAMPEANAS</t>
  </si>
  <si>
    <t>PECHO A 3 COSTILLAS RAFAELA</t>
  </si>
  <si>
    <t>CUADRIL RAFAELA A/V</t>
  </si>
  <si>
    <t>PALETA SWIFT A/V</t>
  </si>
  <si>
    <t>LOMO C/CORDON SWIFT CONGELADO</t>
  </si>
  <si>
    <t>CUADRADA LOGROS A/V A/V</t>
  </si>
  <si>
    <t>CARRE CERDO GONZALEZ</t>
  </si>
  <si>
    <t>BOLA DE LOMO RAFAELA A/V</t>
  </si>
  <si>
    <t>CUADRADA RAFAELA A/V</t>
  </si>
  <si>
    <t>BIFE DE CHORIZO SWIFT CONGELADO A/V</t>
  </si>
  <si>
    <t>ROAST BEEF PICO A/V</t>
  </si>
  <si>
    <t>BOLA DE LOMO FETEADA QUICKFOOD A/V</t>
  </si>
  <si>
    <t>COLITA DE CUADRIL CARNES PAMPEANAS A/V.</t>
  </si>
  <si>
    <t>RIÑON QUICKFOOD CONGELADO</t>
  </si>
  <si>
    <t>ALAS DE POLLO GRANJERO</t>
  </si>
  <si>
    <t>MARUCHA RAFAELA A/V</t>
  </si>
  <si>
    <t>PATITA CERDO QUALITÁ</t>
  </si>
  <si>
    <t>RABO CERDO MAGRET</t>
  </si>
  <si>
    <t>PECHO A 3 COSTILLAS PENTA</t>
  </si>
  <si>
    <t>PECETO FETEADO RAFAELA  A/V</t>
  </si>
  <si>
    <t>CHORIZO VITALE COLORADO</t>
  </si>
  <si>
    <t>MUSLO POLLO TRES ARROYOS</t>
  </si>
  <si>
    <t>HUESO CERDO FRIDECO</t>
  </si>
  <si>
    <t>PATA POLLO GRANJERO</t>
  </si>
  <si>
    <t>BOLA DE LOMO PLATE CONGELADA</t>
  </si>
  <si>
    <t>MATAMBRE CARNES PAMPEANAS A/V.</t>
  </si>
  <si>
    <t>AGUJA CARNES PAMPEANAS CONGELADA.</t>
  </si>
  <si>
    <t>MUSLO POLLO GRANJERO</t>
  </si>
  <si>
    <t>PECHO S/MAN. CERDO LARIO</t>
  </si>
  <si>
    <t>MEDIA RES NOVILLO LOGROS S/RAL</t>
  </si>
  <si>
    <t>CUADRIL SWIFT A/V</t>
  </si>
  <si>
    <t>MATAMBRE RAFAELA A/V</t>
  </si>
  <si>
    <t>LOMO C/CORDON SWIFT A/V</t>
  </si>
  <si>
    <t>PALOMITA QUICKFOOD A/V</t>
  </si>
  <si>
    <t>ENTRAÑA CARNES PAMPEANAS A/V</t>
  </si>
  <si>
    <t>CUADRADA FETEADA QUICKFOOD A/V</t>
  </si>
  <si>
    <t>MARUCHA LOGROS A/V</t>
  </si>
  <si>
    <t>TAPA DE ASADO LOGROS A/V</t>
  </si>
  <si>
    <t>TAPA DE NALGA SWIFT A/V</t>
  </si>
  <si>
    <t>VACIO SWIFT CONGELADO</t>
  </si>
  <si>
    <t>COSTILLAS MAYORISTA</t>
  </si>
  <si>
    <t>RAL COMPLETO FV</t>
  </si>
  <si>
    <t>NALGA FETEADA RAFAELA A/V</t>
  </si>
  <si>
    <t>RUEDA SWIFT</t>
  </si>
  <si>
    <t>LOMO C/CORDON RAFAELA A/V</t>
  </si>
  <si>
    <t>ROAST BEEF SWIFT A/V</t>
  </si>
  <si>
    <t>CHURRASQUITO CERDO PALADINI</t>
  </si>
  <si>
    <t>CHORIZO LA RESOLANA COPETIN</t>
  </si>
  <si>
    <t>CHORIZO BEPA COLORADO</t>
  </si>
  <si>
    <t>MORCILLA</t>
  </si>
  <si>
    <t>CARRE CERDO S/HUESO PALADINI</t>
  </si>
  <si>
    <t>LENGUA LA BLANCA CONGELADA</t>
  </si>
  <si>
    <t>OJO DE BIFE RAFAELA</t>
  </si>
  <si>
    <t>CHIVITO GRANDE</t>
  </si>
  <si>
    <t>VARIOS GRANJA</t>
  </si>
  <si>
    <t>VACIO CARNES PAMPEANAS A/V</t>
  </si>
  <si>
    <t>OJO DE BIFE SWIFT</t>
  </si>
  <si>
    <t>CUADRADA FETEADA RAFAELA A/V</t>
  </si>
  <si>
    <t>MOLLEJA QUICKFOOD CONGELADA</t>
  </si>
  <si>
    <t>TAPA DE ASADO CARNES PAMPEANAS A/V</t>
  </si>
  <si>
    <t>LOMO C/CORDON LOGROS A/V</t>
  </si>
  <si>
    <t>CUADRIL CARNES PAMPEANAS</t>
  </si>
  <si>
    <t>GUISADITO CERDO PALADINI</t>
  </si>
  <si>
    <t>LONGANIZA VITALE</t>
  </si>
  <si>
    <t>CHORIZO LA RESOLANA COLORADO</t>
  </si>
  <si>
    <t>CHORIZO PALADINI GOURMET</t>
  </si>
  <si>
    <t>PALETA CERDO QUALITA S/HUESO</t>
  </si>
  <si>
    <t>PALETA CERDO QUALITA C/CUERO</t>
  </si>
  <si>
    <t>PECHO C/MAN. CERDO QUALITA</t>
  </si>
  <si>
    <t>RECORTE DE CERDO QUALITA</t>
  </si>
  <si>
    <t>PECHO C/MAN. CERDO EL PICHON</t>
  </si>
  <si>
    <t>SOLOMILLO CERDO QUALITA</t>
  </si>
  <si>
    <t>NALGA C/TAPA SWIFT</t>
  </si>
  <si>
    <t>MONDONGO QUICKFOOD CONGELADO</t>
  </si>
  <si>
    <t>MATAMBRE SWIFT A/V</t>
  </si>
  <si>
    <t>VACIO LOGROS A/V.</t>
  </si>
  <si>
    <t>MARUCHA SWIFT A/V</t>
  </si>
  <si>
    <t>CHINCHULIN ARENALES CONGELADO</t>
  </si>
  <si>
    <t>CUADRADA FETEADA SWIFT A/V</t>
  </si>
  <si>
    <t>MEDIA RES NOVILLO SWIFT</t>
  </si>
  <si>
    <t>TORTUGUITA SWIFT A/V</t>
  </si>
  <si>
    <t>MATAMBRE QUICKFOOD A/V</t>
  </si>
  <si>
    <t>NALGA C/TAPA RAFAELA  A/V</t>
  </si>
  <si>
    <t>TAPA DE BIFE SWIFT A/V</t>
  </si>
  <si>
    <t>TAPA DE ASADO RAFAELA A/V</t>
  </si>
  <si>
    <t>PECETO SWIFT CONGELADO</t>
  </si>
  <si>
    <t>BIFE A 8 COSTILLAS C/LOMO CARNES PAMPEANAS</t>
  </si>
  <si>
    <t>TAPA DE NALGA LOGROS A/V</t>
  </si>
  <si>
    <t>ENTRAÑA SWIFT A/V</t>
  </si>
  <si>
    <t>CORDERO ENTERO DE MAS DE 17 KG.</t>
  </si>
  <si>
    <t>MILANESAS DE CARNE FRESCAS</t>
  </si>
  <si>
    <t>MILANESAS</t>
  </si>
  <si>
    <t>GARRON RAFAELA  A/V</t>
  </si>
  <si>
    <t>CONEJO LOS OLIVOS</t>
  </si>
  <si>
    <t>MEDIA RES NOVILLO CARNES DE MI CAMPO</t>
  </si>
  <si>
    <t>MORCILLA VITALE VALENCIANA COPETIN</t>
  </si>
  <si>
    <t>MORCILLA VITALE CRIOLLA</t>
  </si>
  <si>
    <t>RECORTES VACUNOS CARNES PAMPEANAS</t>
  </si>
  <si>
    <t>AGUJA CARNES PAMPEANAS AL VACIO</t>
  </si>
  <si>
    <t>PECETO CARNES PAMPEANAS A/V</t>
  </si>
  <si>
    <t>PALOMITA RAFAELA A/V</t>
  </si>
  <si>
    <t>.....</t>
  </si>
  <si>
    <t>CHIVITO CHICO</t>
  </si>
  <si>
    <t>CARNE CHICA CIMMINO</t>
  </si>
  <si>
    <t>CORDERO RECORTES</t>
  </si>
  <si>
    <t>SALCHICHA CABAÑA SR FRESCA</t>
  </si>
  <si>
    <t>CHORIZO VITALE COPETIN</t>
  </si>
  <si>
    <t>MORCILLA PALADINI DULCE</t>
  </si>
  <si>
    <t>MATAMBRITO DE CERDO QUALITA</t>
  </si>
  <si>
    <t>SOLOMILLO CERDO PALADINI</t>
  </si>
  <si>
    <t>VACIO DE CERDO LARIO</t>
  </si>
  <si>
    <t>COSTELETAS DE CERDO FRIDECO</t>
  </si>
  <si>
    <t>CARRE CERDO S/HUESO QUALITA</t>
  </si>
  <si>
    <t>HUESO CERDO QUALITA</t>
  </si>
  <si>
    <t>JAMON CERDO QUALITA</t>
  </si>
  <si>
    <t>SALCHICHA PALADINI FRESCA</t>
  </si>
  <si>
    <t>SALCHICHA EL TRAPICHE FRESCA</t>
  </si>
  <si>
    <t>CHORIZO LA RESOLANA COMUN</t>
  </si>
  <si>
    <t>CHORIZO PALADINI ESPECIAL</t>
  </si>
  <si>
    <t>CHORIZO PALADINI FRESCO</t>
  </si>
  <si>
    <t>PATE VITALE</t>
  </si>
  <si>
    <t>MORCILLA PALADINI ESPAÑOLA</t>
  </si>
  <si>
    <t>MORCILLA PALADINI PARRILLERA</t>
  </si>
  <si>
    <t>SALCHICHA MAGRET FRESCA</t>
  </si>
  <si>
    <t>PANCETA EL PICHON</t>
  </si>
  <si>
    <t>TRUCHA ARCO IRIS ATAMISQUE A/V</t>
  </si>
  <si>
    <t>FRUTOS DE MAR</t>
  </si>
  <si>
    <t>PESCADOS</t>
  </si>
  <si>
    <t>LANGOSTINO CRUDO PELADO REGENTE X KG.</t>
  </si>
  <si>
    <t>MARISCOS</t>
  </si>
  <si>
    <t>MEJILLON PELADO COC. REGENTE X KG. (CHORITO)</t>
  </si>
  <si>
    <t>CALAMAR TUBO REGENTE X KG</t>
  </si>
  <si>
    <t>SALMON ENTERO ROSADO DEL PACIFICO x KILO REGENTE</t>
  </si>
  <si>
    <t>TRUCHA ARCO IRIS REGENTE X KG</t>
  </si>
  <si>
    <t>MERLUZA FILET X KG REGENTE</t>
  </si>
  <si>
    <t>MILANESAS DE SOJA C/JAMON Y QUESO</t>
  </si>
  <si>
    <t>MILANESAS DE SOJA C/TOMATE,RICOTA Y QUESO</t>
  </si>
  <si>
    <t>MILANESAS DE SOJA C/RICOTA Y NUEZ</t>
  </si>
  <si>
    <t>o</t>
  </si>
  <si>
    <t>PAELLA PREPARADA X 1 KG REGENTE</t>
  </si>
  <si>
    <t>CAZUELA REGENTE PESCADOS Y MARISCOS X 1 KG</t>
  </si>
  <si>
    <t>...</t>
  </si>
  <si>
    <t>SALMON AHUMADO IMPERIAL X 100 GR REGENTE</t>
  </si>
  <si>
    <t>SALMON ROSADO FILET REGENTE X KG</t>
  </si>
  <si>
    <t>CAVIAR DE LUMPO  "IMPERIAL" NEGRO x50G</t>
  </si>
  <si>
    <t>CAVIAR DE LUMPO "IMPERIAL" ROJO x 50G</t>
  </si>
  <si>
    <t>VACIO DE CERDO MAGRET</t>
  </si>
  <si>
    <t>PULPO CHILENO IQF X KG REGENTE</t>
  </si>
  <si>
    <t>MILANESAS DE SOJA</t>
  </si>
  <si>
    <t>MILANESAS DE SOJA C/QUESO</t>
  </si>
  <si>
    <t>MILANESAS DE SOJA C/ESPINACA</t>
  </si>
  <si>
    <t>CALAMARETE ESPAÑOL  X KG REGENTE</t>
  </si>
  <si>
    <t>FALDA SWIFT</t>
  </si>
  <si>
    <t>BOLA DE LOMO FETEADA CARNES PAMPEANAS A/V</t>
  </si>
  <si>
    <t>RABAS DE CALAMAR PAQ X 1 KG REGENTE</t>
  </si>
  <si>
    <t>TENTACULOS DE CALAMAR X KG REGENTE</t>
  </si>
  <si>
    <t>BERBERECHOS REGENTE X KG.</t>
  </si>
  <si>
    <t>NAVAJUELA REGENTE X KG.</t>
  </si>
  <si>
    <t>SURIMI REGENTE X KG.</t>
  </si>
  <si>
    <t>RABAS DE CALAMAR X KG TERRAMARE</t>
  </si>
  <si>
    <t>MERLUZA FILET X KG TERRAMARE</t>
  </si>
  <si>
    <t>PEJERREY DESPINADO X KG TERRAMARE</t>
  </si>
  <si>
    <t>LANGOSTINO CRUDO PELADO TERRAMARE X KG.</t>
  </si>
  <si>
    <t>TRUCHA ARCO IRIS TERRAMARE X KG</t>
  </si>
  <si>
    <t>MEJILLON PELADO COC. TERRAMARE X 500 GR</t>
  </si>
  <si>
    <t>CENTOLLA, PULPA Y MERO X KG REGENTE</t>
  </si>
  <si>
    <t>LANGOSTINO CRUDO PELADO REGENTE X 500</t>
  </si>
  <si>
    <t>CALAMARETTES ESPAÑOLES X 500 GR AL VACIO REGENTE</t>
  </si>
  <si>
    <t>RABAS DE CALAMAR X 500 GR TERRAMARE</t>
  </si>
  <si>
    <t>SURIMI TERRAMARE X 500 GR. (VARITA DE MAR)</t>
  </si>
  <si>
    <t>MERLUZA FILET X 1 KG TERRAMARE</t>
  </si>
  <si>
    <t>CORNALITOS X 500 GR</t>
  </si>
  <si>
    <t>CALAMAR TUBO TERRAMARE X 1 KG IQF</t>
  </si>
  <si>
    <t>CAZUELA TERRAMARE PESCADOS Y MARISCOS X 1 KG</t>
  </si>
  <si>
    <t>SALMON ROSADO FILET TERRAMARE PORCIONADO</t>
  </si>
  <si>
    <t>PICADA DE MAR TERRAMARE 500 GR.</t>
  </si>
  <si>
    <t>FRITOS DE MAR X 500 GR TERRAMARE</t>
  </si>
  <si>
    <t>MERLUZA FILET REBOZADO X 500 GR TERRAMARE</t>
  </si>
  <si>
    <t>CAZUELA TERRAMARE DE MARISCOS X 500 GR</t>
  </si>
  <si>
    <t>BACALAO LOMO CRUDO x KG REGENTE</t>
  </si>
  <si>
    <t>CORVINA FILET 500 GR</t>
  </si>
  <si>
    <t>CAMARON PEL. COC. TERRAMARE X 500 GR.</t>
  </si>
  <si>
    <t>CAMARON PEL. COC. TERRAMARE X KG.</t>
  </si>
  <si>
    <t>CALAMAR ENTERO TERRAMARE X KG</t>
  </si>
  <si>
    <t>MERLUZA MEDALLON REBOZADO 400 GR</t>
  </si>
  <si>
    <t>MERLUZA BARRITA REBOZADA X 500 GR</t>
  </si>
  <si>
    <t>MERLUZA FORMITAS REBOZADA X 500 GR</t>
  </si>
  <si>
    <t>LOMO S/CORDON SWIFT CONGELALDO</t>
  </si>
  <si>
    <t>BIFE DE CHORIZO LOGROS VACA A/V</t>
  </si>
  <si>
    <t>CHURRASQUITO CERDO QUALITA</t>
  </si>
  <si>
    <t>MILANESAS LA BLANCA</t>
  </si>
  <si>
    <t>MILANESAS LA BLANCA PECETO</t>
  </si>
  <si>
    <t>COSTILLITAS DE CERDO PALADINI</t>
  </si>
  <si>
    <t>CAZUELA REGENTE DE PESCADOS Y MARISCOS X 2 KG</t>
  </si>
  <si>
    <t>MILANESAS CARNE FRESCAS (NO USAR)</t>
  </si>
  <si>
    <t>CHINCHULIN RAFAELA (NO USAR)</t>
  </si>
  <si>
    <t>RIÑON RAFAELA (NO USAR)</t>
  </si>
  <si>
    <t>JAMON CERDO CABAÑA SR</t>
  </si>
  <si>
    <t>PALETA CERDO CABAÑA SR</t>
  </si>
  <si>
    <t>CHORIZO LA RESOLANA PARMESANO</t>
  </si>
  <si>
    <t>CHORIZO LA RESOLANA MORRONES</t>
  </si>
  <si>
    <t>CHORIZO CABAÑA SR PURO CERDO</t>
  </si>
  <si>
    <t>CHORIZO CABAÑA SR PURO CERDO BOMBON</t>
  </si>
  <si>
    <t>CHORIZO EL PICHON COLORADO</t>
  </si>
  <si>
    <t>LONGANIZA EL PICHON</t>
  </si>
  <si>
    <t>ROLLITOS DE POLLO</t>
  </si>
  <si>
    <t>BASTON DE MUZZARELLA</t>
  </si>
  <si>
    <t>MEJILLON PELADO COC. TERRAMARE X KG.</t>
  </si>
  <si>
    <t>CAZUELA DE PESCADOS Y MARISCOS REGENTE X KG</t>
  </si>
  <si>
    <t>MILANESAS DE POLLO MAYORISTA</t>
  </si>
  <si>
    <t>CHINCHULIN RAFAELA</t>
  </si>
  <si>
    <t>RIÑON RAFAELA</t>
  </si>
  <si>
    <t>MUSLO POLLO SADIA</t>
  </si>
  <si>
    <t>PATA POLLO SADIA</t>
  </si>
  <si>
    <t>LENGUADO FILET TERRAMARE X 500 GR.</t>
  </si>
  <si>
    <t>LANGOSTINO CRUDO PELADO TERRAMARE X 500 GR.</t>
  </si>
  <si>
    <t>PAVITA SADIA CONDIM. C/ TERMÓMETRO DE COCCIÓN.</t>
  </si>
  <si>
    <t>PAVO</t>
  </si>
  <si>
    <t>TRUCHA ARCO IRIS TERRAMARE X 250 GR. A/V</t>
  </si>
  <si>
    <t>PATA MUSLO SADIA X 12 KG</t>
  </si>
  <si>
    <t>CUARTO TRASERO SADÍA X 15 KG</t>
  </si>
  <si>
    <t>CALAMAR TUBO TERRAMARE X KG</t>
  </si>
  <si>
    <t>CALAMAR ENTERO TERRAMARE IQF X 1 KG</t>
  </si>
  <si>
    <t>HUESO CERDO EL PICHON</t>
  </si>
  <si>
    <t>RECORTE DE CERDO EL PICHON</t>
  </si>
  <si>
    <t>CHORIZO LA RESOLANA PARRILLERO</t>
  </si>
  <si>
    <t>MORCILLA LA RESOLANA</t>
  </si>
  <si>
    <t>BROCHET DE POLLO</t>
  </si>
  <si>
    <t>PATITAS DE CERDO EL PICHON</t>
  </si>
  <si>
    <t>ALITAS REBOZADAS</t>
  </si>
  <si>
    <t>ARROLLADO DE POLLO</t>
  </si>
  <si>
    <t>PAMPLONA</t>
  </si>
  <si>
    <t>SOLOMILLO CERDO EL PICHON</t>
  </si>
  <si>
    <t>CUERO CERDO EL PICHON</t>
  </si>
  <si>
    <t>MILANESAS DE POLLO MARTINEZ</t>
  </si>
  <si>
    <t>MILANESAS DE POLLO LA RESOLANA</t>
  </si>
  <si>
    <t>BERBERECHOS TERRAMARE X KG</t>
  </si>
  <si>
    <t>ALMEJAS PELADAS TERRAMARE X KG.</t>
  </si>
  <si>
    <t>PICADA INTERMEDIA MAYORISTA</t>
  </si>
  <si>
    <t>SALMON ROSADO FILET TERRAMARE X KG</t>
  </si>
  <si>
    <t>POLLO CRESTA ROJA</t>
  </si>
  <si>
    <t>ALQUILER ABRIL 2013</t>
  </si>
  <si>
    <t>ALQUILERES</t>
  </si>
  <si>
    <t>ALQUILER</t>
  </si>
  <si>
    <t>PATE DE FOIE SWIFT 24 x 90G</t>
  </si>
  <si>
    <t>VARIOS INDUSTRIALIZADOS</t>
  </si>
  <si>
    <t>UNTABLES</t>
  </si>
  <si>
    <t>PICADILLO DE CARNE  SWIFT 24 x 90G</t>
  </si>
  <si>
    <t>PICADILLO DE CARNE SWIFT AHUMADO 24 x 88G</t>
  </si>
  <si>
    <t>PICADILLO DE CARNE LIVIANO SWIFT 24 x 88G</t>
  </si>
  <si>
    <t>PATE DE FOIE A LA CREMA SWIFT 24 x 88G</t>
  </si>
  <si>
    <t>PATE DE FOIE LIVIANO SWIFT   24 x 88 GR</t>
  </si>
  <si>
    <t>JAMON DEL DIABLO SWIFT 24 x 88G</t>
  </si>
  <si>
    <t>PATE DE FOIE DE POLLO SWIFT 24 x 85G</t>
  </si>
  <si>
    <t>PICADILLO DE CARNE  LA BLANCA 24 x 90G</t>
  </si>
  <si>
    <t>PATE DE FOIE  LA BLANCA 24 x 90G</t>
  </si>
  <si>
    <t>PICADILLO DE CARNE SAFRA  24 x 90G</t>
  </si>
  <si>
    <t>PATE DE FOIE SAFRA  24 x 90G</t>
  </si>
  <si>
    <t>PATE DE FOIE AL CHAMPAGNE SWIFT GOURMET 24 x 85G</t>
  </si>
  <si>
    <t>PATE DE FOIE TIPO PROVENZAL SWIFT GOURMET 24 x 85G</t>
  </si>
  <si>
    <t>PATE DE FOIE C/PIMIENTA VER SWIFT GOURMET 24 x 85G</t>
  </si>
  <si>
    <t>PATE DE SALMON SWIFT GOURMET  24 x 85G</t>
  </si>
  <si>
    <t>PICADILLO DE CARNE PICANTE  SWIFT 24 x 90G</t>
  </si>
  <si>
    <t>PATE JAMON AHUMADO SWIFT 24 x 85G</t>
  </si>
  <si>
    <t>PATE DE HONGOS SWIFT 24 x 85G</t>
  </si>
  <si>
    <t>PICADILLO DE CARNE SWIFT 25% MAS  24 x 90G</t>
  </si>
  <si>
    <t>PATE DE FOIE SWIFT 25% MAS 24 x 90G</t>
  </si>
  <si>
    <t>PATE DE FOIE  SWIFT KIDS 12 x 85G</t>
  </si>
  <si>
    <t>PICADILLO DE CARNE SWIFT KIDS 12 x 85G</t>
  </si>
  <si>
    <t>HAMBURGUESA SWIFT PARRILLERA 12 x 4  83G</t>
  </si>
  <si>
    <t>HAMBURGUESAS</t>
  </si>
  <si>
    <t>HAMBURGUESAS  RETAIL</t>
  </si>
  <si>
    <t>HAMBURGUESA SWIFT CAJITA 12 x 4 69 G</t>
  </si>
  <si>
    <t>MEDALLONES SWIFT PARRILLERO MC 60 x 83G</t>
  </si>
  <si>
    <t>HAMBURGUESAS GASTRONOMICA</t>
  </si>
  <si>
    <t>MEDALLON SWIFT  CARNE VACUNA 60 x 69g</t>
  </si>
  <si>
    <t>HAMBURGUESA SWIFT CLASICA 6 x 20 83 grs.</t>
  </si>
  <si>
    <t>HAMBURGUESA SWIFT CLASICA 8 x 12  83 grs.</t>
  </si>
  <si>
    <t>HAMBURGUESA SWIFT CLASICA 12 x 4 83 grs.</t>
  </si>
  <si>
    <t>HAMBURGUESA SWIFT DOBLE BURGER 36 x 2 56 grs.</t>
  </si>
  <si>
    <t>MEDALLON SWIFT  CARNE VACUNA PARRILLERO  40 x 109G</t>
  </si>
  <si>
    <t>MEDALLON SWIFT BURGUER PARRILLERO FAMILY 60 x 69 G</t>
  </si>
  <si>
    <t>MEDALLON  SWIFT PARRILLERO 60 x 83G</t>
  </si>
  <si>
    <t>HAMBURGUESA SWIFT DOBLE BURGER PLUS x 30 UND</t>
  </si>
  <si>
    <t>MEDALLONES  LA BLANCA 36 x 2 x 56 grs.</t>
  </si>
  <si>
    <t>HAMBURGUESA SWIFT LIGHT 12 x 4 83 grs.</t>
  </si>
  <si>
    <t>MEDALLONES SWIFT DISNEY KIDS  12 x 4 x 56g</t>
  </si>
  <si>
    <t>SALCHICHA SWIFT 20 x 6</t>
  </si>
  <si>
    <t>SALCHICHAS</t>
  </si>
  <si>
    <t>SALCHICHAS RETAIL</t>
  </si>
  <si>
    <t>SALCHICHA SWIFT 12 x 10</t>
  </si>
  <si>
    <t>SALCHICHA SWIFT LARGAS EA 10 x 12</t>
  </si>
  <si>
    <t>SALCHICHAS GASTRONOMICAS</t>
  </si>
  <si>
    <t>SALCHICHA  SWIFT  INSTITUCIONAL LARGAS  10 x 12</t>
  </si>
  <si>
    <t>SALCHICHA SWIFT 6 x 20 x 37,5 G</t>
  </si>
  <si>
    <t>SALCHICHA SWIFT 6 x 30 x 37,5 G</t>
  </si>
  <si>
    <t>SALCHICHA SWIFT KIDS DISNEY 20 x 6</t>
  </si>
  <si>
    <t>SALCHICHA SWIFT KIDS DISNEY 12 x 10</t>
  </si>
  <si>
    <t>PRIMER JUGO 18 x 1KG</t>
  </si>
  <si>
    <t>SUBPRODUCTOS</t>
  </si>
  <si>
    <t>PRIMER JUGO 18 x 0,5 KG</t>
  </si>
  <si>
    <t>EXTRACTO DE CARNE 12 x 110G EN FRASCOS</t>
  </si>
  <si>
    <t>SALSA BOLOGNESA TRADICIONAL SWIFT 12 x 355G</t>
  </si>
  <si>
    <t>SALSAS</t>
  </si>
  <si>
    <t>SALSA BOLOGNESA C/VERDEO SWIFT 12 x 355G</t>
  </si>
  <si>
    <t>SALSA BOLOGNESA C/AJO SWIFT 12 x 355G</t>
  </si>
  <si>
    <t>CORNED BEEF SWIFT 24 x 340 G</t>
  </si>
  <si>
    <t>CONSERVAS</t>
  </si>
  <si>
    <t>VIANDADA SWIFT x 24  CJ 2011  - ( PNT )</t>
  </si>
  <si>
    <t>VIANDADA LA BLANCA 24 x 332 G</t>
  </si>
  <si>
    <t>SALSA BOLOGNESA TRADICIONAL  SWIFT x 355G</t>
  </si>
  <si>
    <t>SALSA BOLOGNESA C/VERDEO SWIFT x 355G</t>
  </si>
  <si>
    <t>SALSA BOLOGNESA C/AJO SWIFT x 355G</t>
  </si>
  <si>
    <t>CORNED BEEF x 340 G SWIFT UNIDAD</t>
  </si>
  <si>
    <t>VIANDADA SWIFT x UNIDAD</t>
  </si>
  <si>
    <t>VIANDADA LA BLANCA UNIDAD x 332G</t>
  </si>
  <si>
    <t>SALCHICHAS X 10 SWIFT (NO UTILIZAR)</t>
  </si>
  <si>
    <t>PATE DE FOIE SWIFT  x 90G</t>
  </si>
  <si>
    <t>PICADILLO DE CARNE  SWIFT x 90G</t>
  </si>
  <si>
    <t>PICADILLO DE CARNE SWIFT AHUMADO x 88G</t>
  </si>
  <si>
    <t>PICADILLO DE CARNE LIVIANO SWIFT x 88G</t>
  </si>
  <si>
    <t>PATE DE FOIE A LA CREMA SWIFT  x 88G</t>
  </si>
  <si>
    <t>PATE DE FOIE LIVIANO SWIFT  x 88 GR</t>
  </si>
  <si>
    <t>JAMON DEL DIABLO SWIFT  x 88G</t>
  </si>
  <si>
    <t>PICADILLO DE CARNE  LA BLANCA x 90G</t>
  </si>
  <si>
    <t>PATE DE FOIE  LA BLANCA x 90G</t>
  </si>
  <si>
    <t>PICADILLO DE CARNE SAFRA  x 90G</t>
  </si>
  <si>
    <t>PATE DE FOIE SAFRA  x 90G</t>
  </si>
  <si>
    <t>PATE DE FOIE AL CHAMPAGNE SWIFT GOURMET x 85G</t>
  </si>
  <si>
    <t>PATE DE FOIE TIPO PROVENZAL SWIFT GOURMET x 85G</t>
  </si>
  <si>
    <t>PATE DE FOIE C/PIMIENTA VERDE  SWIFT GOURMET x 85G</t>
  </si>
  <si>
    <t>PATE DE SALMON SWIFT GOURMET  x 85G</t>
  </si>
  <si>
    <t>PICADILLO DE CARNE PICANTE  SWIFT  x 90G</t>
  </si>
  <si>
    <t>PATE JAMON AHUMADO SWIFT x 85G</t>
  </si>
  <si>
    <t>PATE DE HONGOS SWIFT x 85G</t>
  </si>
  <si>
    <t>PICADILLO DE CARNE SWIFT 25% MAS  x 90G</t>
  </si>
  <si>
    <t>PATE DE FOIE SWIFT 25% MAS x 90G</t>
  </si>
  <si>
    <t>PATE DE FOIE  SWIFT KIDS  x 85G</t>
  </si>
  <si>
    <t>PICADILLO DE CARNE SWIFT KIDS x 85G</t>
  </si>
  <si>
    <t>HAMBURGUESA SWIFT PARRILLERA 4 x 83 grs.</t>
  </si>
  <si>
    <t>HAMBURGUESA SWIFT CAJITA 4 x 69 grs</t>
  </si>
  <si>
    <t>MEDALLON SWIFT PARRILLERO MC x 83g</t>
  </si>
  <si>
    <t>MEDALLON SWIFT  CARNE VACUNA  x 69 g</t>
  </si>
  <si>
    <t>HAMBURGUESA SWIFT CLASICA 20 x 83 grs.</t>
  </si>
  <si>
    <t>HAMBURGUESA SWIFT CLASICA 12 x 83 grs.</t>
  </si>
  <si>
    <t>1HAMBURGUESA SWIFT CLASICA 4 x 83 grs.</t>
  </si>
  <si>
    <t>1HAMBURGUESA SWIFT DOBLE BURGER 2 x 56 grs.</t>
  </si>
  <si>
    <t>MEDALLON SWIFT  CARNE VACUNA PARRILLERO  x 109G</t>
  </si>
  <si>
    <t>MEDALLON SWIFT BURGUER PARRILLERO FAMILY x 69 GRS</t>
  </si>
  <si>
    <t>MEDALLON  SWIFT PARRILLERO x 83G</t>
  </si>
  <si>
    <t>1HAMBURGUESA SWIFT DOBLE BURGER PLUS x UND</t>
  </si>
  <si>
    <t>1MEDALLONES LA BLANCA 2 x 56 grs.</t>
  </si>
  <si>
    <t>1HAMBURGUESA SWIFT LIGHT 4 x 83 grs.</t>
  </si>
  <si>
    <t>1MEDALLONES SWIFT DISNEY KIDS  4 x 56g</t>
  </si>
  <si>
    <t>1SALCHICHA SWIFT x 6</t>
  </si>
  <si>
    <t>SALCHICHA SWIFT x 10</t>
  </si>
  <si>
    <t>SALCHICHA SWIFT LARGAS EA  x 12 U</t>
  </si>
  <si>
    <t>SALCHICHA SWIFT  INSTITUCIONAL LARGAS  x 12  U</t>
  </si>
  <si>
    <t>1SALCHICHA SWIFT  20 x 37,5 G</t>
  </si>
  <si>
    <t>1SALCHICHA SWIFT  30 x 37,5 G</t>
  </si>
  <si>
    <t>1SALCHICHA SWIFT KIDS DISNEY x 6</t>
  </si>
  <si>
    <t>1SALCHICHA SWIFT KIDS DISNEY x 10</t>
  </si>
  <si>
    <t>1PRIMER JUGO x 1KG</t>
  </si>
  <si>
    <t>1PRIMER JUGO x 0,5 KG</t>
  </si>
  <si>
    <t>1EXTRACTO DE CARNE 110G UNIDAD</t>
  </si>
  <si>
    <t>PAN DE CAMPO PRECOCIDO CONGELADO CLASICOx30gx24</t>
  </si>
  <si>
    <t>PANIFICADOS</t>
  </si>
  <si>
    <t>ULTRACONGELADOS</t>
  </si>
  <si>
    <t>PAN DE CAMPO PREC. CONGELADO QUESOx30gx24</t>
  </si>
  <si>
    <t>PAN DE CAMPO PREC. CONGELADO OREGANOx30gx24</t>
  </si>
  <si>
    <t>PAN DE CAMPO PREC. CONGELADO CEBOLLA30gx24</t>
  </si>
  <si>
    <t>PAN DE CAMPO PREC. CONGELADO FINAS HIERBAS 30gx24</t>
  </si>
  <si>
    <t>PAN FRANCES PRECOCIDO CONGELADOx250gx12</t>
  </si>
  <si>
    <t>PAN BAGUETTE PRECOCIDO CONGELADOx250gx6</t>
  </si>
  <si>
    <t>PAN BAGUETTIN  PRECOCIDO CONGELADOx125gx12</t>
  </si>
  <si>
    <t>PAN MIGNON PRECOCIDO CONGELADOx250gx12</t>
  </si>
  <si>
    <t>TORTITA DON TADEO CONGELADAS X 12</t>
  </si>
  <si>
    <t>MEDIALUNA DON TADEO CONGELADAS x 12</t>
  </si>
  <si>
    <t>FACTURA ESPECIALES DON TADEO CONGELADAS x 12</t>
  </si>
  <si>
    <t>TORTITA PINCHADA DON TADEO CRUDA CONGELADA X 12UN.</t>
  </si>
  <si>
    <t>PAN BAGUETTEx250gx1</t>
  </si>
  <si>
    <t>PAN DEL DIA</t>
  </si>
  <si>
    <t>PAN BAGUETTINx125gx4</t>
  </si>
  <si>
    <t>PAN DE CAMPOx400gx1</t>
  </si>
  <si>
    <t>TORTITA DON TADEO COCINADAS RASPADAS x 12</t>
  </si>
  <si>
    <t>MEDIALUNA DON TADEO COCINADAS x 12</t>
  </si>
  <si>
    <t>PEPA CON MEMBRILLO X 12</t>
  </si>
  <si>
    <t>AZUCARADOS</t>
  </si>
  <si>
    <t>PEPA CON BATATA X 12</t>
  </si>
  <si>
    <t>BIZCOCHO MARMOLADO X 12</t>
  </si>
  <si>
    <t>COQUITO X 12</t>
  </si>
  <si>
    <t>PANQUEQUES ARTESANAL X 12UNID</t>
  </si>
  <si>
    <t>CONITOS X 6UN PORTAL DEL VIENTO</t>
  </si>
  <si>
    <t>CAMPANITAS X 6UN PORTAL DEL VIENTO</t>
  </si>
  <si>
    <t>ALFAJOR MINI X 6UN PORTAL DEL VIENTO</t>
  </si>
  <si>
    <t>CUBANITOS X 10 UN PORTAL DEL VIENTO</t>
  </si>
  <si>
    <t>PALMERITA X 200GR NUEVA TUCUMAN</t>
  </si>
  <si>
    <t>PAN DE CAMPO COCIDO</t>
  </si>
  <si>
    <t>CAÑONCITOS X 200GR APROX NUEVA TUCUMAN</t>
  </si>
  <si>
    <t>LENGUITAS X 200GR APROX NUEVA TUCUMAN</t>
  </si>
  <si>
    <t>CUBANITOS X 8 UN. LA NUEVA TUCUMAN</t>
  </si>
  <si>
    <t>GALLETA DE MIEL X 200GR LA NUEVA TUCUMAN</t>
  </si>
  <si>
    <t>BUDIN MARMOLADO X 270 GRS</t>
  </si>
  <si>
    <t>BUDIN VAINILLA X 270 GRS</t>
  </si>
  <si>
    <t>BUDIN LIMON X 270 GRS</t>
  </si>
  <si>
    <t>BUDIN NARANJA X 270 GRS</t>
  </si>
  <si>
    <t>ALFAJOR GLASEADO X 15UN. DULCE IMPACTO</t>
  </si>
  <si>
    <t>PAN PARA PECETO Y PERNIL X 20UNID</t>
  </si>
  <si>
    <t>SALADOS</t>
  </si>
  <si>
    <t>GALLETAS PEPAS X 200GR. LA NUEVA TUCUMAN</t>
  </si>
  <si>
    <t>PREPIZZA X 2 UNID.</t>
  </si>
  <si>
    <t>PIZZETA X 4 UND</t>
  </si>
  <si>
    <t>PAN DE PANCHO X 6 UND</t>
  </si>
  <si>
    <t>VIENAS</t>
  </si>
  <si>
    <t>PAN SUPERPANCHO X 6 UND</t>
  </si>
  <si>
    <t>PAN DE HAMBURGUESA X 4 UND</t>
  </si>
  <si>
    <t>PAN PEBETE X 4 UND</t>
  </si>
  <si>
    <t>PAN CHIPS</t>
  </si>
  <si>
    <t>PAN LACTEADO REBANADO X 360 GRS</t>
  </si>
  <si>
    <t>REBANADOS</t>
  </si>
  <si>
    <t>PAN SALVADO X 360 GRS</t>
  </si>
  <si>
    <t>PAN MULTICEREAL X 360 GRS</t>
  </si>
  <si>
    <t>PAN DE LOMO ARABEx25 cm: 10 UND</t>
  </si>
  <si>
    <t>PAN DE LOMO ARABEx30 cm: 10 UND</t>
  </si>
  <si>
    <t>PAN DE LOMO ARABEx 4 UND</t>
  </si>
  <si>
    <t>PAN DE LOMO ARABEx 5 UND</t>
  </si>
  <si>
    <t>PAN DE MIGA SANDWICH  X 100 MIGA MARIO</t>
  </si>
  <si>
    <t>PAN DE MIGA CARLITERA X 100 MIGA MARIO</t>
  </si>
  <si>
    <t>PAN DE MIGA SANDWICH X 50 MIGA MARIO</t>
  </si>
  <si>
    <t>ALFAJOR SUPER ROLY GLASEDO X 15 UND</t>
  </si>
  <si>
    <t>ALFAJOR SUPER ROLLY MAICENA D LECHE X 12 U</t>
  </si>
  <si>
    <t>ALFAJOR SUPER ROLLY  MIEL 15 U</t>
  </si>
  <si>
    <t>PAN RALLADO X 1 KG.</t>
  </si>
  <si>
    <t>ALFAJOR DULCE IMPACTO GLACEADO</t>
  </si>
  <si>
    <t>ALFAJOR DULCE IMPACTO MAICENA</t>
  </si>
  <si>
    <t>ALFAJOR DULCE IMPACTO MIEL</t>
  </si>
  <si>
    <t>PAN ARABE REDONDO X 30CM DON ARABE</t>
  </si>
  <si>
    <t>GRISINES x 200 GRS</t>
  </si>
  <si>
    <t>GRISINES SALVADO x 200 GRS</t>
  </si>
  <si>
    <t>MARINERAS x 200 GRS</t>
  </si>
  <si>
    <t>MARINERAS SALVADO x 200 GRS</t>
  </si>
  <si>
    <t>ALFAJOR MAICENA X 250 GR.</t>
  </si>
  <si>
    <t>FACTURAS DON TADEO SURTIDAS COCINADAS X 12 UND</t>
  </si>
  <si>
    <t>TORTITA PINCHADAS X 12 UND COCIDAS</t>
  </si>
  <si>
    <t>TARTA CON FR.</t>
  </si>
  <si>
    <t>SCONES X 12 UND</t>
  </si>
  <si>
    <t>ALFAJOR PORTAL DEL VIENTO GLACEADOS X 14 UND</t>
  </si>
  <si>
    <t>ALFAJOR PORTAL DEL VIENTO MAICENA  X 15 U</t>
  </si>
  <si>
    <t>ALFAJOR PORTAL DEL VIENTO MIEL X 15</t>
  </si>
  <si>
    <t>ALFAJOR PORTAL DEL VIENTO MINI X 24</t>
  </si>
  <si>
    <t>CAMPANITA PORTAL DEL VIENTO D DULCE LECHE X 12</t>
  </si>
  <si>
    <t>CONITOS PORTAL DEL VIENTO DULCE DE LECHE X 12</t>
  </si>
  <si>
    <t>CUBANITOS PORTAL DEL VIENTO RELLENOS X 25 U CHOC</t>
  </si>
  <si>
    <t>TRUFAS PORTAL DEL VIENTO X 28 UND</t>
  </si>
  <si>
    <t>TORTITAS DON TADEO PREMIUM CONG. RASPADAS X 12</t>
  </si>
  <si>
    <t>TORTITAS DON TADEO PREMIUM CONG. DE HOJA X 12</t>
  </si>
  <si>
    <t>TORTITAS DON TADEO PREMIUM CONG. PINCHADAS X 12</t>
  </si>
  <si>
    <t>MEDIALUNAS DON TADEO PREMIUM CONG. X 12</t>
  </si>
  <si>
    <t>SACRAMENTOS DON TADEO PREMIUM CONG. X 12</t>
  </si>
  <si>
    <t>FACTURAS DON TADEO PREMIUM CONG. X 12</t>
  </si>
  <si>
    <t>FACTURA DON TADEO PREMIUM COCIDA X 12</t>
  </si>
  <si>
    <t>MEDIALUNA DON TADEO PREMIUM COCIDA X 12</t>
  </si>
  <si>
    <t>TORTITA DE HOJA DON TADEO COCIDA X 12</t>
  </si>
  <si>
    <t>SACRAMENTO DON TADEO PREMIUM COCIDO X 12</t>
  </si>
  <si>
    <t>ALFAJOR PORTAL DEL VIENTO X 14</t>
  </si>
  <si>
    <t>BUDIN CHOCOLATE X 270 GRS</t>
  </si>
  <si>
    <t>PAN RALLADO X 1 KG MIGA MARIO</t>
  </si>
  <si>
    <t>PREPIZZA PREM. X 2 UN. DON ARABE</t>
  </si>
  <si>
    <t>PAN DE MIGA SANDWICH X 20 MIGA MARIO</t>
  </si>
  <si>
    <t>REJILLA PASTELERA/MEMBRILLO CRUDA CONJELADA 525</t>
  </si>
  <si>
    <t>TORTITAS PINCHADAS CRUDA CONGELADA 525</t>
  </si>
  <si>
    <t>MEDIALUNAS CRUDA CONGELADAS 525</t>
  </si>
  <si>
    <t>SACRAMENTOS CRUDO CONGELADO 525</t>
  </si>
  <si>
    <t>PAN SUPER PANCHO X 12 UNI. MIGA MARIO</t>
  </si>
  <si>
    <t>PAN RALLADO X 5KG. MIGA MARIO</t>
  </si>
  <si>
    <t>TORTITAS DE HOJA CRUDAS CONGELADAS 525</t>
  </si>
  <si>
    <t>PAN DULCE  X 400 GR</t>
  </si>
  <si>
    <t>PAN FRANCES COCIDO PARA CHORIPAN</t>
  </si>
  <si>
    <t>PAN ARABE PARA LOMO DON TADEO X 4UNIDADES</t>
  </si>
  <si>
    <t>TORTITAS RASPADAS CRUDA CONGELADAS 525</t>
  </si>
  <si>
    <t>TORTITAS DON TADEO HOJAS CONGELADAS X 12UNID.</t>
  </si>
  <si>
    <t>FACTURA CLASICA SACRAMENTO PREF-CONGELADO</t>
  </si>
  <si>
    <t>FACTURA CLASICA SACRAMENTO COCIDA</t>
  </si>
  <si>
    <t>TAPAS PARA ALFAJOR X 320GR</t>
  </si>
  <si>
    <t>ALFAJOR DE MAICENA X 20UNID DULCE IMPACTO</t>
  </si>
  <si>
    <t>CHOCO OBLEAS X 14UNID.</t>
  </si>
  <si>
    <t>BIZCOCHOS AZUCARADOS X 1KG</t>
  </si>
  <si>
    <t>BIZCOCHOS DE LA ABUELA X 1 KG</t>
  </si>
  <si>
    <t>GALLETAS CHIPS X 1KG</t>
  </si>
  <si>
    <t>GALLETAS DE COCO CHOCOLATE X 1KG</t>
  </si>
  <si>
    <t>GALLETAS DE COCO X 1KG</t>
  </si>
  <si>
    <t>GALLETAS DE NARANJA X 1KG</t>
  </si>
  <si>
    <t>GALLETAS DE LIMON X 1KG</t>
  </si>
  <si>
    <t>HOJALDRTITAS X 1KG</t>
  </si>
  <si>
    <t>BIZCOCHOS MARMOLADOS X 1KG</t>
  </si>
  <si>
    <t>PALMERITAS X 1KG</t>
  </si>
  <si>
    <t>PEPITAS X 1KG</t>
  </si>
  <si>
    <t>ROSCAS BAÑADAS X 1KG</t>
  </si>
  <si>
    <t>PASTAFLORA MINI X 6UN MARY LI</t>
  </si>
  <si>
    <t>ANISETTO X 200GR MARY LI</t>
  </si>
  <si>
    <t>BIZCOCHOS AZUCARADOS X 200GR MARY LI</t>
  </si>
  <si>
    <t>BIZCOCHOS DE LA ABUELA X 200GR MARY LI</t>
  </si>
  <si>
    <t>GALLETAS CHIPS X 200GR MARY LI</t>
  </si>
  <si>
    <t>GALLETAS DE COCO CHOCOLATE X 200GR MARY LI</t>
  </si>
  <si>
    <t>GALLETAS DE COCO X 200GR MARY LI</t>
  </si>
  <si>
    <t>GALLETAS DE NARANJA X 200GR MARY LI</t>
  </si>
  <si>
    <t>GALLETAS DE LIMON X 200GR MARY LI</t>
  </si>
  <si>
    <t>HOJALDRITAS X  200GR</t>
  </si>
  <si>
    <t>BIZCOCHOS MARMOLADOS X 200GR MARY LI</t>
  </si>
  <si>
    <t>PALMERITAS X 200GR</t>
  </si>
  <si>
    <t>PEPITAS X 200GR</t>
  </si>
  <si>
    <t>ROSCAS BAÑADAS X 200GR MARY LI</t>
  </si>
  <si>
    <t>TOSTADAS DE GLUTEN</t>
  </si>
  <si>
    <t>CAÑONCITOS RELLENOS CON DULCE DE LECHE</t>
  </si>
  <si>
    <t>LENGUA RELLENA DE DULCE DE LECHE</t>
  </si>
  <si>
    <t>BOLLITOS DE ANIS X 200GR MARY LI</t>
  </si>
  <si>
    <t>BIZCOCHOS DULCES SURTIDOS X 500GR NUEVA TUCUMAN</t>
  </si>
  <si>
    <t>PAN TIPO CAMPO X UN. NUEVA TUCUMAN</t>
  </si>
  <si>
    <t>PIZZETA X 6 UNID NUEVA TUCUMAN</t>
  </si>
  <si>
    <t>PALMERITAS X 1KG NUEVA TUCUMAN</t>
  </si>
  <si>
    <t>PAN HAMBURGUESA GRANDE X 4UN. NUEVA TUCUMAN</t>
  </si>
  <si>
    <t>MIGA CARLITERA MEDIANA X 25U NUEVA TUCUMAN</t>
  </si>
  <si>
    <t>PAN RALLADO X 5 KG NUEVA TUCUMAN</t>
  </si>
  <si>
    <t>PAN MIGA X 10UN NUEVA TUCUMAN</t>
  </si>
  <si>
    <t>PAN MIGA X 50UN CHICO NUEVA TUCUMAN</t>
  </si>
  <si>
    <t>1AL. PE. 1.5KG CHAMP MIX CARNES</t>
  </si>
  <si>
    <t>PET SHOP</t>
  </si>
  <si>
    <t>ALIMENTO PERROS</t>
  </si>
  <si>
    <t>1AL. PE. 3KG DOGUI SABOR CARNE Y TOMATE CON SALSA</t>
  </si>
  <si>
    <t>1AL. GA. 10KG GAUCHO SAB.POLLO</t>
  </si>
  <si>
    <t>ALIMENTO GATOS</t>
  </si>
  <si>
    <t>1AL. GA. 8KG KONGO GATOS ADULTOS</t>
  </si>
  <si>
    <t>1AL. PE. 10.1KG CHAMP MIX DE CARNES</t>
  </si>
  <si>
    <t>1AL. PE. 15KG CHAMP MIX DE CARNES</t>
  </si>
  <si>
    <t>1AL. PE. 1.5KG CHAMP ASADO</t>
  </si>
  <si>
    <t>1AL. PE. 22KG KONGO ADULTO RAZAS GRANDES</t>
  </si>
  <si>
    <t>1AL. PE. 3KG CHAMP ASADO</t>
  </si>
  <si>
    <t>1AL. PE. 8KG KONGO CACHORROS</t>
  </si>
  <si>
    <t>1AL. PE. 10.1KG CHAMP ASADO</t>
  </si>
  <si>
    <t>1AL. PE. 1.3KG PEDIGREE CACH SANO CRECIMIENTO CPL</t>
  </si>
  <si>
    <t>1AL. PE. 15KG KONGO GOLD CACHORROS</t>
  </si>
  <si>
    <t>1AL. PE. 2.7KG PEDIGREE CACH SANO CRECIMIENTO CPL</t>
  </si>
  <si>
    <t>1AL. PE. 2.7 KG PEDIGREE CACH. SANO CREC. CPL 6UN</t>
  </si>
  <si>
    <t>1AL. PE. 7.5KG PEDIGREE CACH SANO CRECIMIENTO CPL</t>
  </si>
  <si>
    <t>1AL. PE. 9KG PEDIGREE  CACHORRO BB SC CPL</t>
  </si>
  <si>
    <t>1AL. PE. 21KG PEDIGREE CACH SANO CRECIMIENTO CPL</t>
  </si>
  <si>
    <t>1AL. PE. 1.3KG PEDIGREE VP ADULTO   CPC 10UN</t>
  </si>
  <si>
    <t>1AL. PE. 1.3KG PEDIGREE  ADULTO NUTR  CPC</t>
  </si>
  <si>
    <t>1AL. PE. 2.7KG PEDIGREE  ADULTO NUTR  CPC</t>
  </si>
  <si>
    <t>1AL. PE. 2.7KG PEDIGREE ADULTO CPC 6UN</t>
  </si>
  <si>
    <t>1AL. PE. 7.5KG PEDIGREE  ADULTO NUTR  CPC</t>
  </si>
  <si>
    <t>1AL. PE. 7,5 KG + 1,5 KG PEDIGREE VP ADULTO CPC</t>
  </si>
  <si>
    <t>1AL. PE. 15KG PEDIGREE  ADULTO CPC</t>
  </si>
  <si>
    <t>1AL. PE. 17KG PEDIGREE  ADULTO BB NC CPC</t>
  </si>
  <si>
    <t>1AL. PE. 21KG PEDIGREE  ADULTO NUTR  CPC</t>
  </si>
  <si>
    <t>1AL. PE. 1.3KG PEDIGREE ADULTO CV</t>
  </si>
  <si>
    <t>1AL. PE. 1.3KG PEDIGREE  ADULTO COMP CV 10UN</t>
  </si>
  <si>
    <t>1AL. PE. 2.7KG PEDIGREE  ADULTO COMP CV</t>
  </si>
  <si>
    <t>1AL. PE. 2.7KG PEDIGREE ADULTO COMP CV 6U</t>
  </si>
  <si>
    <t>1AL. PE. 7.5KG PEDIGREE  ADULTO COMP CV</t>
  </si>
  <si>
    <t>1AL. PE. 9KG PEDIGREE VP ADULTO BB NC CV</t>
  </si>
  <si>
    <t>1AL. PE. 15KG PEDIGREE ADULTO   CV</t>
  </si>
  <si>
    <t>1AL. PE.17KG PEDIGREE VP ADULTO BBNC</t>
  </si>
  <si>
    <t>1AL. PE. 21KG PEDIGREE ADULTO NUTRICION COMPLETA</t>
  </si>
  <si>
    <t>1AL. PE. 1KG  PEDIGREE BALANCE</t>
  </si>
  <si>
    <t>1AL. PE. 1KG PEDIGREE BALANCE 10UN</t>
  </si>
  <si>
    <t>1AL. PE. 2.5KG PEDIGREE BALANCE</t>
  </si>
  <si>
    <t>1AL. PE. 2.5KG PEDIGREE BALANCE 7UN</t>
  </si>
  <si>
    <t>1AL. PE. 7KG PEDIGREE BALANCE</t>
  </si>
  <si>
    <t>1AL. PE. 15KG PEDIGREE BALANCE</t>
  </si>
  <si>
    <t>1AL. PE. 1KG PEDIGREE BAL.CACHORRO</t>
  </si>
  <si>
    <t>1AL. PE. 1KG PEDIGREE BAL. CACHORRO 10UN</t>
  </si>
  <si>
    <t>1AL. PE. 2.5KG PEDIGREE BAL. CACHORRO</t>
  </si>
  <si>
    <t>1AL. PE. 2.5KG PEDIGREE BAL. CACHORRO 7UN.</t>
  </si>
  <si>
    <t>1AL. PE. 7KG PEDIGREE BAL. CACHORRO</t>
  </si>
  <si>
    <t>1AL. PE. 15KG PEDIGREE BAL. CACHORRO</t>
  </si>
  <si>
    <t>1AL. PE. 1.3KG PEDIGREE VP RAZAS PEQUEÑAS</t>
  </si>
  <si>
    <t>1AL. PE. 1.3KG PEDIGREE RAZAS PEQ CPV  10UN</t>
  </si>
  <si>
    <t>1AL. PE. 2.7KG PEDIGREE VP RAZAS PEQ CPV</t>
  </si>
  <si>
    <t>1AL. PE. 1.5KG DOGUI CARNE, CEREALES Y ARROZ</t>
  </si>
  <si>
    <t>1AL. PE. 7.5KG PEDIGREE VP RAZAS PEQ CPV</t>
  </si>
  <si>
    <t>1AL. PE. 9KG PEDIGREE VP RAZAS PEQUEÑAS CPV</t>
  </si>
  <si>
    <t>1AL. PE. 1.3KG PEDIGREE SENIOR+7AÑOS CP</t>
  </si>
  <si>
    <t>1AL. PE. 1.5KG DOGUI POLLO GRILLADO</t>
  </si>
  <si>
    <t>1AL. PE. 2.7KG PEDIGREE VP SENIOR+7A CP</t>
  </si>
  <si>
    <t>1AL. PE. 1.5KG DOGUI CARNE SELECCION VEGETALES</t>
  </si>
  <si>
    <t>1AL. PE. 7.5KG PEDIGREE VP SENIOR+7A CP</t>
  </si>
  <si>
    <t>1AL. PE. 9KG PEDIGREE VP SENIOR+7A CP</t>
  </si>
  <si>
    <t>1AL. PE. 85GR PEDIGREE  POUCH CACHORRO CARNE</t>
  </si>
  <si>
    <t>1AL. PE. 85GR PEDIGREE POUCH CACH.CARNE 12UN</t>
  </si>
  <si>
    <t>1AL. PE. 100GR PEDIGREE PUCH ADULTO  CARNE</t>
  </si>
  <si>
    <t>1AL. PE. 100GR PEDIGREE POUCH ADULTO RP CARNE 12UN</t>
  </si>
  <si>
    <t>1AL. PE. 100GR PEDIGREE POUCH ADULTO  POLLO</t>
  </si>
  <si>
    <t>1AL. PE. 100GR PEDIGREE POUCH ADUL  POLLO 12UN</t>
  </si>
  <si>
    <t>1AL. PE. 340GR PEDIGREE  LATA ADULTO  CARNE</t>
  </si>
  <si>
    <t>1AL. PE. 340 GR PEDIGREE ADULTO NC CARNE X 24 UN.</t>
  </si>
  <si>
    <t>1AL. PE. 340GR PEDIGREE LATA ADULTO  NC POLLO</t>
  </si>
  <si>
    <t>1AL. PE. 340GR PEDIGREE LATA ADULTO NC POLLO 24UN</t>
  </si>
  <si>
    <t>1AL. GA. 400GR KITEKATE CARNE</t>
  </si>
  <si>
    <t>1AL. GA. 400GR KITEKATE CARNE 20UN.</t>
  </si>
  <si>
    <t>1AL. GA. 1KG KITEKATE CARNE</t>
  </si>
  <si>
    <t>1AL. GA. 10KG KITEKATE CARNE</t>
  </si>
  <si>
    <t>1AL. GA. 400GR KITEKATE PESCADO</t>
  </si>
  <si>
    <t>1AL. GA. 400GR KITEKATE PESCADO 20UN.</t>
  </si>
  <si>
    <t>1AL. GA. 1KG KITEKATE PESCADO</t>
  </si>
  <si>
    <t>1AL. GA. 10KG KITEKATE PESCADO</t>
  </si>
  <si>
    <t>1AL. GA. 400GR KITEKATE POLLO</t>
  </si>
  <si>
    <t>1AL. GA. 400GR KITEKATE POLLO 20UN.</t>
  </si>
  <si>
    <t>1AL. GA. 1KG KITEKATE POLLO</t>
  </si>
  <si>
    <t>1AL. GA. 10KG KITEKATE POLLO</t>
  </si>
  <si>
    <t>1AL. GA. 4KG CATSAN</t>
  </si>
  <si>
    <t>1AL. GA. 4KG CATSAN X 5 UN.</t>
  </si>
  <si>
    <t>1AL. GA. 500GR WHISCAS CARNE</t>
  </si>
  <si>
    <t>1AL. GA. 500GR WHISCASCARNE 20UN</t>
  </si>
  <si>
    <t>1AL. GA. 1KG WHISCAS CARNE</t>
  </si>
  <si>
    <t>1AL. GA. 1KG WHISCAS CARNE 10UN.</t>
  </si>
  <si>
    <t>1AL. GA. 10KG WHISCAS CARNE</t>
  </si>
  <si>
    <t>1AL. GA. 500GR WHISCAS SALMON</t>
  </si>
  <si>
    <t>1AL. GA. 500GR WHISCAS SALMON 20UN</t>
  </si>
  <si>
    <t>1AL. GA. 1KG WHISCAS SALMON</t>
  </si>
  <si>
    <t>1AL. GA. 1KG WHISCAS SALMON 10UN</t>
  </si>
  <si>
    <t>1AL. GA. 10KG WHISCAS SALMON</t>
  </si>
  <si>
    <t>1AL. GA. 500GR WHISCAS PESCADOS</t>
  </si>
  <si>
    <t>1AL. GA. 500GR WHISCAS PESCADO 20UN.</t>
  </si>
  <si>
    <t>1AL. GA. 1KG  WHISCAS PESCADO</t>
  </si>
  <si>
    <t>1AL. GA. 1KG WHISCAS PESCADO 10UN.</t>
  </si>
  <si>
    <t>1AL. GA. 3KG  WHISCAS PESCADO</t>
  </si>
  <si>
    <t>1AL. GA. 3KG WHISCAS PESCADO 6UN.</t>
  </si>
  <si>
    <t>1AL. GA. 6KG WHISCAS PESCADO</t>
  </si>
  <si>
    <t>1AL. GA. 10KG WHISCAS PESCADO</t>
  </si>
  <si>
    <t>1AL. GA. 500GR WHISCAS POLLO Y LECHE</t>
  </si>
  <si>
    <t>1AL. GA. 500GR WHISCAS POLLO Y LECHE20UN</t>
  </si>
  <si>
    <t>1AL. GA. 1KG  WHISCAS POLLO Y LECHE</t>
  </si>
  <si>
    <t>1AL. GA. 1KG WHISCAS POLLO Y LECHE 10UN</t>
  </si>
  <si>
    <t>1AL. GA. 3KG WHISCAS POLLO Y LECHE</t>
  </si>
  <si>
    <t>1AL. GA. 3KG WHISKAS POLLO Y LECHE 6UN</t>
  </si>
  <si>
    <t>1AL. GA. 6KG  WHISKAS POLLO Y LECHE</t>
  </si>
  <si>
    <t>1AL. GA. 10KG  WHISKAS POLLO Y LECHE</t>
  </si>
  <si>
    <t>1AL. GA. 500GR WHISKAS CARNE Y LECHE</t>
  </si>
  <si>
    <t>1AL. GA. 500GR WHISKAS 20UN</t>
  </si>
  <si>
    <t>1AL. GA. 1KG WHISKAS CARNE Y LECHE</t>
  </si>
  <si>
    <t>1AL. GA. 1KG WHISKAS CARNE Y LECHE 10UN</t>
  </si>
  <si>
    <t>1AL. GA. 10KG WHISKAS CARNE Y LECHE</t>
  </si>
  <si>
    <t>1AL. GA. 85GR WHISKAS POUCH GATITO CARNE 12UN.</t>
  </si>
  <si>
    <t>1AL. GA. 85GR WHISKAS POUCH GATITO CARNE X12UN.</t>
  </si>
  <si>
    <t>1AL. GA. 85GR WHISKAS POUCH ADULTO CARNE</t>
  </si>
  <si>
    <t>1AL. GA. 85GR WHISKAS POUCH CARNE CIG 12UN</t>
  </si>
  <si>
    <t>1AL. GA. 85GR WHISKAS POUCH AD PAVO</t>
  </si>
  <si>
    <t>1AL. GA. 85GR WHISKAS POUCH  PAVO CIG 12UN</t>
  </si>
  <si>
    <t>1AL. GA. 85GR WHISKAS POUCH SALMON</t>
  </si>
  <si>
    <t>1AL. GA. 85GR WHISKAS POUCH SALMON CIG 12UN</t>
  </si>
  <si>
    <t>1AL. GA. 85GR WHISKAS POUCH ADULTO SARDINA</t>
  </si>
  <si>
    <t>1AL. GA. 85GR WHISKAS POUCH ADUL SARDINA 24UN</t>
  </si>
  <si>
    <t>1AL. GA. 85GR WHISKAS POUCH ADULTO  POLLO</t>
  </si>
  <si>
    <t>1AL. GA. 85GR WHISKAS POUCH ADULTO POLLO 24UN</t>
  </si>
  <si>
    <t>1AL. GA. 340GR WHISKAS LATA GATITO CARNE</t>
  </si>
  <si>
    <t>1AL. GA. 340GR WHISKAS LATA GATITO CARNE 24UN</t>
  </si>
  <si>
    <t>1AL. GA. 340 GR WHISKAS ADULTO CARNE LATA</t>
  </si>
  <si>
    <t>1AL. GA. 340GR WHISKAS LATA ADULTO CARNE 24UN</t>
  </si>
  <si>
    <t>1AL. GA. 340GR WHISKAS LATA ADUL ATUN</t>
  </si>
  <si>
    <t>1AL. GA. 340GR WHISKAS LATA ADULTO ATUN 24UN</t>
  </si>
  <si>
    <t>1AL. GA. 340GR WHISKAS LATA ADULTO POLLO</t>
  </si>
  <si>
    <t>1AL. GA. 340GR WHISKAS LATA AD POLLO 24UN</t>
  </si>
  <si>
    <t>1AL. GA. 500GR RAZA PESCADO</t>
  </si>
  <si>
    <t>1AL. GA. 500GR RAZA PESCADO 18UN</t>
  </si>
  <si>
    <t>1AL. GA. 1KG RAZA PESCADO</t>
  </si>
  <si>
    <t>1AL. GA. 1KG RAZA PESCADO 18UN.</t>
  </si>
  <si>
    <t>1AL. GA. 10KG RAZA PESCADO</t>
  </si>
  <si>
    <t>1AL. GA. 500GR RAZA CARNE,PESCADO Y ARROZ</t>
  </si>
  <si>
    <t>1AL. GA. 500GR RAZA CARNE ,PESCADO Y ARROZ 18UN</t>
  </si>
  <si>
    <t>1AL. GA. 1KG RAZA CARNE,PESCADO Y ARROZ</t>
  </si>
  <si>
    <t>1AL. GA. 1KG RAZA CARNE,PESCADO Y ARROZ 18UN</t>
  </si>
  <si>
    <t>1AL. GA. 10KG RAZA CARNE,PESCADO  Y ARROZ</t>
  </si>
  <si>
    <t>1AL. GA. 500GR RAZA POLLO Y LECHE</t>
  </si>
  <si>
    <t>1AL. GA. 500GR RAZA POLLO Y LECHE 18UN</t>
  </si>
  <si>
    <t>1AL. GA. 1KG RAZA POLLO Y LECHE</t>
  </si>
  <si>
    <t>1AL. GA. 1KG RAZA POLLO Y LECHE 18UN</t>
  </si>
  <si>
    <t>1AL. GA. 10KG RAZA POLLO Y LECHE</t>
  </si>
  <si>
    <t>1AL. PE. 1.5KG RAZA CACHORRO CAR,CER Y LECHE</t>
  </si>
  <si>
    <t>1AL. PE. 1.5KG RAZA CACH CAR,CER Y LECHE 12</t>
  </si>
  <si>
    <t>1AL. PE. 15KG RAZA CACH CAR,CER Y LECHE</t>
  </si>
  <si>
    <t>1AL. PE. 1.5KG RAZA SABOR CARNE</t>
  </si>
  <si>
    <t>1AL. PE. 1.5KG RAZA SABOR CARNE 12UN</t>
  </si>
  <si>
    <t>1AL. PE. 3KG RAZA SABOR CARNE</t>
  </si>
  <si>
    <t>1AL. PE. 3KG RAZA SABOR CARNE 6UN</t>
  </si>
  <si>
    <t>1AL. PE. 8KG RAZA SABOR CARNE</t>
  </si>
  <si>
    <t>1AL. PE. 15KG RAZA SABOR CARNE</t>
  </si>
  <si>
    <t>1AL. PE. 21KG RAZA SABOR CARNE</t>
  </si>
  <si>
    <t>1AL. PE. 1.5KG RAZA  RAZAS PEQUEÑAS CARNE</t>
  </si>
  <si>
    <t>1AL. PE. 1.5KG RAZA RAZAS PEQUEÑAS CARNE 12UN</t>
  </si>
  <si>
    <t>1AL. PE. 8KG RAZA  RAZAS PEQUEÑAS CARNE</t>
  </si>
  <si>
    <t>1AL. PE. 21 KG RAZA  RAZAS PEQUÑAS CARNE</t>
  </si>
  <si>
    <t>1AL. PE. 1.5KG RAZA POLLO,CAR,CER.Y ARROZ</t>
  </si>
  <si>
    <t>1AL. PE. 1.5K RAZA POLLO,CAR,CER.Y ARROZ 12U</t>
  </si>
  <si>
    <t>1AL. PE. 3KG RAZA POLLO,CAR,CER. Y ARROZ</t>
  </si>
  <si>
    <t>1AL. PE. 3KG RAZA POLLO,CAR,CER.Y ARROZ 6UN</t>
  </si>
  <si>
    <t>1AL. PE. 8KG RAZA POLLO,CAR,CER.Y ARROZ</t>
  </si>
  <si>
    <t>1AL. PE. 15KG RAZA POLLO,CAR,CER.Y ARROZ</t>
  </si>
  <si>
    <t>1AL. PE. 21KG RAZA POLLO,CAR,CER.Y ARROZ</t>
  </si>
  <si>
    <t>1AL. GA. 10KG GAUCHO ADULTOS</t>
  </si>
  <si>
    <t>1AL. PE. 10KG GAUCHO PERROS ADULTOS</t>
  </si>
  <si>
    <t>1AL. PE. 15KG GAUCHO PERROS ADULTOS</t>
  </si>
  <si>
    <t>1AL. PE. 1.5KG PAMPA ADULTOS CARNE</t>
  </si>
  <si>
    <t>1AL. PE. 1.5KG PAMPA ADULTOS CARNE 12UN</t>
  </si>
  <si>
    <t>1AL. PE. 3KG PAMPA ADULTOS CARNE</t>
  </si>
  <si>
    <t>1AL. PE. 3KG PAMPA ADULTOS CARNE 6UN</t>
  </si>
  <si>
    <t>1AL. PE. 10KG PAMPA PERROS ADULTOS CARNE</t>
  </si>
  <si>
    <t>1AL. PE. 15KG PAMPA PERROS ADULTOS CARNE</t>
  </si>
  <si>
    <t>1AL. PE. 21KG PAMPA PERROS ADULTOS CARNE</t>
  </si>
  <si>
    <t>1AL. PE. 1.5KG PAMPA PERROS CACHORROS</t>
  </si>
  <si>
    <t>1AL. PE. 1.5KG PAMPA PERROS CACHORROS 12UN</t>
  </si>
  <si>
    <t>1AL. PE. 15KG PAMPA PERROS CACHORROS</t>
  </si>
  <si>
    <t>1AL. GA. 1KG PAMPA PESCADO</t>
  </si>
  <si>
    <t>1AL. GA. 1KG PAMPA PESCADO 18UN</t>
  </si>
  <si>
    <t>1AL. GA. 10KG PAMPA PESCADO</t>
  </si>
  <si>
    <t>PIEDRITA SANITARIA CADEA X 3 KG</t>
  </si>
  <si>
    <t>SEMOLA PARA PERRO CADEA X 3 KG</t>
  </si>
  <si>
    <t>1AL. PE. 10KG BATUQUE</t>
  </si>
  <si>
    <t>1AL. PE. 5KG BATUQUE ADULTO</t>
  </si>
  <si>
    <t>1AL. PE. 1.5KG BATUQUE ADULTO</t>
  </si>
  <si>
    <t>1AL. PE. 1.5KG BATUQUE CACHORRO</t>
  </si>
  <si>
    <t>1AL. PE. 25KG GARI DOG</t>
  </si>
  <si>
    <t>1AL. PE. 10KG GARI DOG ADULTO</t>
  </si>
  <si>
    <t>1AL. PE. 1.5KG GARI DOG ADULTO</t>
  </si>
  <si>
    <t>1AL. PE. 1.5KG GARI CACHORRO</t>
  </si>
  <si>
    <t>1AL. PE. 15KG GAUCH CACHORRO</t>
  </si>
  <si>
    <t>1AL. PE. 21KG GAUCHO ADULTO</t>
  </si>
  <si>
    <t>1AL. PE. 22KG CHAMP</t>
  </si>
  <si>
    <t>1AL. GA. 85GR WHISKAS POUCH GATITO CARNE</t>
  </si>
  <si>
    <t>1AL. PE. 340GR PEDIGREE LATA CACHORRO CARNE</t>
  </si>
  <si>
    <t>1AL. PE. 3KG DOGUI CARNE ASDADA SEL VEGETALES</t>
  </si>
  <si>
    <t>1AL. PE. 8KG DOGUI CARNE ASDADA SEL VEGETALES</t>
  </si>
  <si>
    <t>1AL. PE. 15KG DOGUI CARNE ASADA SEL VEGETALES</t>
  </si>
  <si>
    <t>1AL. PE. 3KG DOGUI CARNE CEREALES  ARROZ</t>
  </si>
  <si>
    <t>1AL. PE. 8KG DOGUI CARNE CEREALES ARROZ</t>
  </si>
  <si>
    <t>1AL. GA. 1KG GATTI PESCADO ARROZ  ESPINACA</t>
  </si>
  <si>
    <t>1AL. GA. 8KG GATTI PESCADO ARROZ  ESPINACA</t>
  </si>
  <si>
    <t>1AL. GA. 1KG GATTI POLLO ZANAHORIA ESPINACA</t>
  </si>
  <si>
    <t>1AL. GA. 1KG GATTI CARNE ARROZ  MAIZ</t>
  </si>
  <si>
    <t>1AL. PE. 1.5KG DOG CHOW CACHORRO RAZAS PEQUEÑAS</t>
  </si>
  <si>
    <t>1AL. PE. 3KG DOG CHOW CACH RAZAS MED Y GDE</t>
  </si>
  <si>
    <t>1AL. PE. 8KG DOG CHOW CACH RAZAS MED Y GDE</t>
  </si>
  <si>
    <t>1AL. PE. 15KG DOG CHOW CACH RAZ MED Y GDE</t>
  </si>
  <si>
    <t>1AL. PE. 1.5KG DOG CHOW RAZAS PEQUEÑAS</t>
  </si>
  <si>
    <t>1AL. PE. 8KG DOG CHOW RAZAS PEQUEÑAS</t>
  </si>
  <si>
    <t>1AL. PE. 3KG DOG CHOW ADULTO</t>
  </si>
  <si>
    <t>1AL. PE. 8KG DOG CHOW ADULTO</t>
  </si>
  <si>
    <t>1AL. PE. 15KG DOG CHOW ADULTO</t>
  </si>
  <si>
    <t>1AL. GA. 8 KG CAT CHOW ADULTO DELICIAS MIX</t>
  </si>
  <si>
    <t>1AL. GA.  8KG CAT CHOW GATITOS</t>
  </si>
  <si>
    <t>1AL. GA. 1KG CAT CHOW ADULTO</t>
  </si>
  <si>
    <t>1AL. GA. 8KG CAT CHOW ADULTO</t>
  </si>
  <si>
    <t>1AL. GA. 1KG CAT CHOW ADULTO CARNE</t>
  </si>
  <si>
    <t>1AL. PE. 3KG DOGUI CACHORRO CARNE CEREAL  LECHE</t>
  </si>
  <si>
    <t>1AL. PE. 8KG DOGUI CACHORRO CARNE CEREALES  LECHE</t>
  </si>
  <si>
    <t>1AL. PE. 15KG DOGUI CACHORRO CARNE CEREALES LECHE</t>
  </si>
  <si>
    <t>1AL. PE. 10KG ROCHAL</t>
  </si>
  <si>
    <t>1AL. PE. 15KG BIGGER CACHORRO</t>
  </si>
  <si>
    <t>1AL. PE. 15KG BIGGER ADULTO</t>
  </si>
  <si>
    <t>1AL. PE. 20KG MASCOTITOS CACHORRO</t>
  </si>
  <si>
    <t>1AL. PE. 20 KG MEISTER</t>
  </si>
  <si>
    <t>1AL. PE. 10 KG MEISTER</t>
  </si>
  <si>
    <t>1AL. PE. 3KG GARI DOG ADULTO</t>
  </si>
  <si>
    <t>1AL. GA. 1KG CAT CHOW GATITOS</t>
  </si>
  <si>
    <t>1AL. GA. 1KG CAT CHOW DELICIAS MIX</t>
  </si>
  <si>
    <t>1AL. GA. 15KG GATI CARNE ARROZ MAIZ</t>
  </si>
  <si>
    <t>1AL. GA. 15KG GATI PESCADO ARROZ ESPINACA</t>
  </si>
  <si>
    <t>1AL. PE. 3KG DOW CHOW CACHORRO RAZA PEQUEÑA</t>
  </si>
  <si>
    <t>1AL. PE. 21KG DOW CHOW CACHORRO RAZA MEDIANA</t>
  </si>
  <si>
    <t>1AL. PE. 21KG DOW CHOW ADULTO RAZA MEDIANA GRANDE</t>
  </si>
  <si>
    <t>1AL. PE. 3KG DOGUI POLLO GRILLADO SEL. VEG.</t>
  </si>
  <si>
    <t>1AL. PE. 21KG DOGUI CARNE CEREAL ARROZ</t>
  </si>
  <si>
    <t>1AL. PE. 21KG DOGUI POLLO GRILLADO SEL. VEG.</t>
  </si>
  <si>
    <t>1AL. PE. 21KG DOGUI CACHORRO CARNE CEREAL LECHE</t>
  </si>
  <si>
    <t>1AL. GA. 8KG CAT CHOW ADULTO SABOR CARNE</t>
  </si>
  <si>
    <t>1AL. PE. 21KG DOGUI CARNE ASADA SEL.VEGETALES</t>
  </si>
  <si>
    <t>1AL. PE. 3KG DOG CHOW ADULTO RAZAS PEQUEÑAS</t>
  </si>
  <si>
    <t>PIEDRITAS SANITARIAS X 2KG</t>
  </si>
  <si>
    <t>1AL. PE. 22 KG KONGO GOLD ADULTO</t>
  </si>
  <si>
    <t>1AL. PE. 20 KG KONGO TRADICIONAL</t>
  </si>
  <si>
    <t>1AL. PE. 22 KG. MAINTENANCE CRIADORES ADULTO</t>
  </si>
  <si>
    <t>1AL. PE. 15 KG. MAINTENANCE CRIADORES CACHORRO</t>
  </si>
  <si>
    <t>1AL. PE. 15 KG. VORAZ MIX ADULTOS</t>
  </si>
  <si>
    <t>1AL. PE. 22 KG. VORAZ ADULTO</t>
  </si>
  <si>
    <t>1AL. PE. 15 KG VORAZ ADULTO</t>
  </si>
  <si>
    <t>1AL. PE. 10KG. VORAZ JUNIOR</t>
  </si>
  <si>
    <t>1AL. GA. 22 KG. VORAZ ADULTO</t>
  </si>
  <si>
    <t>1AL. GA. 10 KG. VORAZ ADULTO</t>
  </si>
  <si>
    <t>1AL. GA. 15 KG. VORAZ GATITO</t>
  </si>
  <si>
    <t>1AL. PE. 22 KG VORAZ JUNIOR</t>
  </si>
  <si>
    <t>1AL. PE. 10 KG VORAZ ADULTO</t>
  </si>
  <si>
    <t>1AL. PE. 21KG DOG CHOW CACHORRO RAZA PEQUEÑAS</t>
  </si>
  <si>
    <t>1AL. PE. 3KG DOG CHOW REDUCE CALORIE</t>
  </si>
  <si>
    <t>1AL. PE. 21KG DOW CHOW REDUCE CALORIE</t>
  </si>
  <si>
    <t>1AL. PE. 21 KG DOG CHOW ADULTO RAZA PEQUEÑA</t>
  </si>
  <si>
    <t>1AL. PE. 20 KG. MASCOTITO ADULTO</t>
  </si>
  <si>
    <t>1AL. GA. 1KG MAPU ADULTO</t>
  </si>
  <si>
    <t>1AL. PE. 1.5KG MAPU ADULTO MORDIDA GRANDE</t>
  </si>
  <si>
    <t>1AL. PE. 1.5 KG MAPU ADULTO MORDIDA PEQUEÑA</t>
  </si>
  <si>
    <t>1AL. PE. 1.5 KG MAPU CACHORRO</t>
  </si>
  <si>
    <t>1AL. PE. 15 KG MAPU ADULTO MORDIDA GRANDE</t>
  </si>
  <si>
    <t>1AL. PE. 15 KG MAPU CACHORRO</t>
  </si>
  <si>
    <t>1AL. PE. 9 KG MAPU ADULTO MORDIDA PEQUEÑA</t>
  </si>
  <si>
    <t>1AL. PE. 8KG KONGO GOLD ADULTO</t>
  </si>
  <si>
    <t>1AL. GA. 1KG KONGO</t>
  </si>
  <si>
    <t>1AL. GA. 0.400 KG VORAZ PESCADO</t>
  </si>
  <si>
    <t>1AL. GA. 0.400 KG VORAZ GATITOS</t>
  </si>
  <si>
    <t>ARROZ X 5KG CHUMBALE MEDIO GRANO PARA PERRO</t>
  </si>
  <si>
    <t>1MASGOOD X 15KG</t>
  </si>
  <si>
    <t>1MASGOOD CACHORRO X 10KG</t>
  </si>
  <si>
    <t>1GATO MASGOOD X 10</t>
  </si>
  <si>
    <t>1AL. PE. 15KG PEDIGREE ADULTO NUTRICION COMPLETA</t>
  </si>
  <si>
    <t>1AL. GA. 10 KG WHISKAS ADULTO PESCADO</t>
  </si>
  <si>
    <t>1AL. GA. 1 KG WHISKAS ADULTO PÈSCADO</t>
  </si>
  <si>
    <t>1AL .GA. 500G WHISKAS ADULTO PESCADO</t>
  </si>
  <si>
    <t>Terneros</t>
  </si>
  <si>
    <t>GANADO</t>
  </si>
  <si>
    <t>TERNEROS</t>
  </si>
  <si>
    <t>Cant/kg</t>
  </si>
  <si>
    <t>Fec. Venc.</t>
  </si>
  <si>
    <t>UBICACIÓN DE MERCADERIA</t>
  </si>
  <si>
    <t>Descripción</t>
  </si>
  <si>
    <t>B</t>
  </si>
  <si>
    <t>Total</t>
  </si>
  <si>
    <t>Cámara 1</t>
  </si>
  <si>
    <t>Cámara 2</t>
  </si>
  <si>
    <t>Cámara 3</t>
  </si>
  <si>
    <t>pich</t>
  </si>
  <si>
    <t>CORDE*</t>
  </si>
  <si>
    <t>V1</t>
  </si>
  <si>
    <t>V2</t>
  </si>
  <si>
    <t>P1-A</t>
  </si>
  <si>
    <t>P2-E</t>
  </si>
  <si>
    <t>P2-A</t>
  </si>
  <si>
    <t>P1-F</t>
  </si>
  <si>
    <t>P1-B</t>
  </si>
  <si>
    <t>P2-D</t>
  </si>
  <si>
    <t>P2-B</t>
  </si>
  <si>
    <t>P1-E</t>
  </si>
  <si>
    <t>P1-C</t>
  </si>
  <si>
    <t>V3</t>
  </si>
  <si>
    <t>P2-C</t>
  </si>
  <si>
    <t>P1-D</t>
  </si>
  <si>
    <t>V4</t>
  </si>
  <si>
    <t>V5</t>
  </si>
  <si>
    <t>P3-C</t>
  </si>
  <si>
    <t>P3-D</t>
  </si>
  <si>
    <t>P3-A</t>
  </si>
  <si>
    <t>P3-B</t>
  </si>
  <si>
    <t>CARNICERIA</t>
  </si>
  <si>
    <t>PRE CAMARA 3</t>
  </si>
  <si>
    <t>C1</t>
  </si>
  <si>
    <t>PRE CAMARA 1</t>
  </si>
  <si>
    <t>C2</t>
  </si>
  <si>
    <t>C3</t>
  </si>
  <si>
    <t>PRE CAMARA 4</t>
  </si>
  <si>
    <t>PRE CAMARA 2</t>
  </si>
  <si>
    <t>C4</t>
  </si>
  <si>
    <t>C5</t>
  </si>
  <si>
    <t>car</t>
  </si>
  <si>
    <t>men</t>
  </si>
  <si>
    <t>I</t>
  </si>
  <si>
    <t>M</t>
  </si>
  <si>
    <t>D</t>
  </si>
  <si>
    <t>cong</t>
  </si>
  <si>
    <t>chor* par*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</si>
</sst>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/>
    </xf>
    <xf numFmtId="0" fontId="6" fillId="3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2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0" fontId="0" fillId="7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 applyBorder="1"/>
    <xf numFmtId="0" fontId="0" fillId="6" borderId="0" xfId="0" applyFill="1"/>
    <xf numFmtId="0" fontId="0" fillId="8" borderId="0" xfId="0" applyFill="1"/>
    <xf numFmtId="0" fontId="3" fillId="6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3" borderId="9" xfId="0" applyFill="1" applyBorder="1"/>
    <xf numFmtId="0" fontId="0" fillId="3" borderId="10" xfId="0" applyFill="1" applyBorder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NumberFormat="1" applyFill="1"/>
    <xf numFmtId="14" fontId="9" fillId="5" borderId="0" xfId="0" applyNumberFormat="1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Border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/>
    <xf numFmtId="0" fontId="0" fillId="0" borderId="0" xfId="0" applyBorder="1"/>
    <xf numFmtId="0" fontId="5" fillId="5" borderId="19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 textRotation="180"/>
    </xf>
    <xf numFmtId="0" fontId="0" fillId="6" borderId="0" xfId="0" applyFill="1" applyBorder="1" applyAlignment="1">
      <alignment horizontal="center" vertical="center" textRotation="180"/>
    </xf>
    <xf numFmtId="0" fontId="0" fillId="6" borderId="16" xfId="0" applyFill="1" applyBorder="1" applyAlignment="1">
      <alignment horizontal="center" vertical="center" textRotation="180"/>
    </xf>
    <xf numFmtId="0" fontId="0" fillId="6" borderId="17" xfId="0" applyFill="1" applyBorder="1" applyAlignment="1">
      <alignment horizontal="center" vertical="center" textRotation="180"/>
    </xf>
    <xf numFmtId="0" fontId="0" fillId="6" borderId="15" xfId="0" applyFill="1" applyBorder="1" applyAlignment="1">
      <alignment horizontal="center" vertical="center" textRotation="180"/>
    </xf>
    <xf numFmtId="0" fontId="0" fillId="6" borderId="18" xfId="0" applyFill="1" applyBorder="1" applyAlignment="1">
      <alignment horizontal="center" vertical="center" textRotation="180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textRotation="180"/>
    </xf>
    <xf numFmtId="0" fontId="0" fillId="6" borderId="10" xfId="0" applyFill="1" applyBorder="1" applyAlignment="1">
      <alignment horizontal="center" vertical="center" textRotation="180"/>
    </xf>
    <xf numFmtId="0" fontId="0" fillId="6" borderId="9" xfId="0" applyFill="1" applyBorder="1" applyAlignment="1">
      <alignment horizontal="center" vertical="center" textRotation="180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5">
    <dxf>
      <font>
        <color theme="0"/>
      </font>
      <fill>
        <patternFill>
          <bgColor theme="7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952500</xdr:colOff>
      <xdr:row>2</xdr:row>
      <xdr:rowOff>171450</xdr:rowOff>
    </xdr:from>
    <xdr:to>
      <xdr:col>2</xdr:col>
      <xdr:colOff>3038475</xdr:colOff>
      <xdr:row>3</xdr:row>
      <xdr:rowOff>114300</xdr:rowOff>
    </xdr:to>
    <xdr:sp macro="" textlink="">
      <xdr:nvSpPr>
        <xdr:cNvPr id="2" name="1 Rectángulo"/>
        <xdr:cNvSpPr/>
      </xdr:nvSpPr>
      <xdr:spPr>
        <a:xfrm>
          <a:off x="2066925" y="952500"/>
          <a:ext cx="2085975" cy="381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oneCellAnchor>
    <xdr:from>
      <xdr:col>2</xdr:col>
      <xdr:colOff>15906</xdr:colOff>
      <xdr:row>2</xdr:row>
      <xdr:rowOff>67214</xdr:rowOff>
    </xdr:from>
    <xdr:ext cx="5873687" cy="551911"/>
    <xdr:sp macro="" textlink="">
      <xdr:nvSpPr>
        <xdr:cNvPr id="3" name="2 Rectángulo"/>
        <xdr:cNvSpPr/>
      </xdr:nvSpPr>
      <xdr:spPr>
        <a:xfrm>
          <a:off x="911256" y="848264"/>
          <a:ext cx="5873687" cy="551911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l"/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TOTALES</a:t>
          </a:r>
          <a:r>
            <a:rPr lang="es-ES" sz="32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Y PARCIALES</a:t>
          </a:r>
          <a:endParaRPr lang="es-ES" sz="32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952500</xdr:colOff>
      <xdr:row>2</xdr:row>
      <xdr:rowOff>171450</xdr:rowOff>
    </xdr:from>
    <xdr:to>
      <xdr:col>9</xdr:col>
      <xdr:colOff>3038475</xdr:colOff>
      <xdr:row>3</xdr:row>
      <xdr:rowOff>114300</xdr:rowOff>
    </xdr:to>
    <xdr:sp macro="" textlink="">
      <xdr:nvSpPr>
        <xdr:cNvPr id="4" name="3 Rectángulo"/>
        <xdr:cNvSpPr/>
      </xdr:nvSpPr>
      <xdr:spPr>
        <a:xfrm>
          <a:off x="1847850" y="952500"/>
          <a:ext cx="2085975" cy="381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10</xdr:col>
      <xdr:colOff>952500</xdr:colOff>
      <xdr:row>2</xdr:row>
      <xdr:rowOff>171450</xdr:rowOff>
    </xdr:from>
    <xdr:to>
      <xdr:col>10</xdr:col>
      <xdr:colOff>3038475</xdr:colOff>
      <xdr:row>3</xdr:row>
      <xdr:rowOff>114300</xdr:rowOff>
    </xdr:to>
    <xdr:sp macro="" textlink="">
      <xdr:nvSpPr>
        <xdr:cNvPr id="5" name="4 Rectángulo"/>
        <xdr:cNvSpPr/>
      </xdr:nvSpPr>
      <xdr:spPr>
        <a:xfrm>
          <a:off x="10572750" y="952500"/>
          <a:ext cx="742950" cy="381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243399</xdr:colOff>
      <xdr:row>0</xdr:row>
      <xdr:rowOff>8268</xdr:rowOff>
    </xdr:from>
    <xdr:ext cx="914995" cy="937629"/>
    <xdr:sp macro="" textlink="">
      <xdr:nvSpPr>
        <xdr:cNvPr id="2" name="1 Rectángulo"/>
        <xdr:cNvSpPr/>
      </xdr:nvSpPr>
      <xdr:spPr>
        <a:xfrm>
          <a:off x="243399" y="8268"/>
          <a:ext cx="91499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5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C1</a:t>
          </a:r>
        </a:p>
      </xdr:txBody>
    </xdr:sp>
    <xdr:clientData/>
  </xdr:oneCellAnchor>
  <xdr:oneCellAnchor>
    <xdr:from>
      <xdr:col>2</xdr:col>
      <xdr:colOff>9718</xdr:colOff>
      <xdr:row>1</xdr:row>
      <xdr:rowOff>34866</xdr:rowOff>
    </xdr:from>
    <xdr:ext cx="3054456" cy="593304"/>
    <xdr:sp macro="" textlink="">
      <xdr:nvSpPr>
        <xdr:cNvPr id="3" name="2 Rectángulo"/>
        <xdr:cNvSpPr/>
      </xdr:nvSpPr>
      <xdr:spPr>
        <a:xfrm>
          <a:off x="1240779" y="412272"/>
          <a:ext cx="3054456" cy="593304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Cámara</a:t>
          </a:r>
          <a:r>
            <a:rPr lang="es-ES" sz="32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Cajas</a:t>
          </a:r>
          <a:endParaRPr lang="es-ES" sz="32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243399</xdr:colOff>
      <xdr:row>0</xdr:row>
      <xdr:rowOff>8268</xdr:rowOff>
    </xdr:from>
    <xdr:ext cx="914995" cy="937629"/>
    <xdr:sp macro="" textlink="">
      <xdr:nvSpPr>
        <xdr:cNvPr id="2" name="1 Rectángulo"/>
        <xdr:cNvSpPr/>
      </xdr:nvSpPr>
      <xdr:spPr>
        <a:xfrm>
          <a:off x="243399" y="8268"/>
          <a:ext cx="91499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5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C2</a:t>
          </a:r>
        </a:p>
      </xdr:txBody>
    </xdr:sp>
    <xdr:clientData/>
  </xdr:oneCellAnchor>
  <xdr:twoCellAnchor>
    <xdr:from>
      <xdr:col>1</xdr:col>
      <xdr:colOff>709882</xdr:colOff>
      <xdr:row>0</xdr:row>
      <xdr:rowOff>341462</xdr:rowOff>
    </xdr:from>
    <xdr:to>
      <xdr:col>3</xdr:col>
      <xdr:colOff>71887</xdr:colOff>
      <xdr:row>3</xdr:row>
      <xdr:rowOff>62901</xdr:rowOff>
    </xdr:to>
    <xdr:sp macro="" textlink="">
      <xdr:nvSpPr>
        <xdr:cNvPr id="3" name="2 Rectángulo"/>
        <xdr:cNvSpPr/>
      </xdr:nvSpPr>
      <xdr:spPr>
        <a:xfrm>
          <a:off x="1471882" y="341462"/>
          <a:ext cx="3200580" cy="483439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oneCellAnchor>
    <xdr:from>
      <xdr:col>2</xdr:col>
      <xdr:colOff>36676</xdr:colOff>
      <xdr:row>0</xdr:row>
      <xdr:rowOff>349371</xdr:rowOff>
    </xdr:from>
    <xdr:ext cx="3054456" cy="593304"/>
    <xdr:sp macro="" textlink="">
      <xdr:nvSpPr>
        <xdr:cNvPr id="4" name="3 Rectángulo"/>
        <xdr:cNvSpPr/>
      </xdr:nvSpPr>
      <xdr:spPr>
        <a:xfrm>
          <a:off x="1560676" y="349371"/>
          <a:ext cx="3054456" cy="593304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Cámara</a:t>
          </a:r>
          <a:r>
            <a:rPr lang="es-ES" sz="32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Pollo</a:t>
          </a:r>
          <a:endParaRPr lang="es-ES" sz="32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99625</xdr:colOff>
      <xdr:row>0</xdr:row>
      <xdr:rowOff>8268</xdr:rowOff>
    </xdr:from>
    <xdr:ext cx="914995" cy="937629"/>
    <xdr:sp macro="" textlink="">
      <xdr:nvSpPr>
        <xdr:cNvPr id="2" name="1 Rectángulo"/>
        <xdr:cNvSpPr/>
      </xdr:nvSpPr>
      <xdr:spPr>
        <a:xfrm>
          <a:off x="99625" y="8268"/>
          <a:ext cx="914995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5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C3</a:t>
          </a:r>
        </a:p>
      </xdr:txBody>
    </xdr:sp>
    <xdr:clientData/>
  </xdr:oneCellAnchor>
  <xdr:twoCellAnchor>
    <xdr:from>
      <xdr:col>1</xdr:col>
      <xdr:colOff>709882</xdr:colOff>
      <xdr:row>0</xdr:row>
      <xdr:rowOff>341462</xdr:rowOff>
    </xdr:from>
    <xdr:to>
      <xdr:col>3</xdr:col>
      <xdr:colOff>71887</xdr:colOff>
      <xdr:row>3</xdr:row>
      <xdr:rowOff>62901</xdr:rowOff>
    </xdr:to>
    <xdr:sp macro="" textlink="">
      <xdr:nvSpPr>
        <xdr:cNvPr id="3" name="2 Rectángulo"/>
        <xdr:cNvSpPr/>
      </xdr:nvSpPr>
      <xdr:spPr>
        <a:xfrm>
          <a:off x="1471882" y="341462"/>
          <a:ext cx="3200580" cy="483439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oneCellAnchor>
    <xdr:from>
      <xdr:col>1</xdr:col>
      <xdr:colOff>413349</xdr:colOff>
      <xdr:row>0</xdr:row>
      <xdr:rowOff>349371</xdr:rowOff>
    </xdr:from>
    <xdr:ext cx="3558396" cy="593304"/>
    <xdr:sp macro="" textlink="">
      <xdr:nvSpPr>
        <xdr:cNvPr id="4" name="3 Rectángulo"/>
        <xdr:cNvSpPr/>
      </xdr:nvSpPr>
      <xdr:spPr>
        <a:xfrm>
          <a:off x="1177146" y="349371"/>
          <a:ext cx="3558396" cy="593304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Cámara</a:t>
          </a:r>
          <a:r>
            <a:rPr lang="es-ES" sz="32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Congelado</a:t>
          </a:r>
          <a:endParaRPr lang="es-ES" sz="32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8</xdr:row>
      <xdr:rowOff>76200</xdr:rowOff>
    </xdr:from>
    <xdr:to>
      <xdr:col>13</xdr:col>
      <xdr:colOff>133350</xdr:colOff>
      <xdr:row>41</xdr:row>
      <xdr:rowOff>28575</xdr:rowOff>
    </xdr:to>
    <xdr:grpSp>
      <xdr:nvGrpSpPr>
        <xdr:cNvPr id="365" name="364 Grupo"/>
        <xdr:cNvGrpSpPr/>
      </xdr:nvGrpSpPr>
      <xdr:grpSpPr>
        <a:xfrm>
          <a:off x="5086350" y="1600200"/>
          <a:ext cx="4953000" cy="6238875"/>
          <a:chOff x="2705100" y="1209675"/>
          <a:chExt cx="4953000" cy="6238875"/>
        </a:xfrm>
      </xdr:grpSpPr>
      <xdr:grpSp>
        <xdr:nvGrpSpPr>
          <xdr:cNvPr id="168" name="167 Grupo"/>
          <xdr:cNvGrpSpPr/>
        </xdr:nvGrpSpPr>
        <xdr:grpSpPr>
          <a:xfrm>
            <a:off x="2705100" y="1209675"/>
            <a:ext cx="4581525" cy="6219825"/>
            <a:chOff x="4562475" y="1238250"/>
            <a:chExt cx="4581525" cy="6219825"/>
          </a:xfrm>
        </xdr:grpSpPr>
        <xdr:cxnSp macro="">
          <xdr:nvCxnSpPr>
            <xdr:cNvPr id="169" name="168 Conector recto"/>
            <xdr:cNvCxnSpPr/>
          </xdr:nvCxnSpPr>
          <xdr:spPr>
            <a:xfrm flipH="1" flipV="1">
              <a:off x="5191125" y="51720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0" name="169 Conector recto"/>
            <xdr:cNvCxnSpPr/>
          </xdr:nvCxnSpPr>
          <xdr:spPr>
            <a:xfrm flipH="1" flipV="1">
              <a:off x="5857875" y="45053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1" name="170 Conector recto"/>
            <xdr:cNvCxnSpPr/>
          </xdr:nvCxnSpPr>
          <xdr:spPr>
            <a:xfrm flipH="1" flipV="1">
              <a:off x="6505575" y="38195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2" name="171 Conector recto"/>
            <xdr:cNvCxnSpPr/>
          </xdr:nvCxnSpPr>
          <xdr:spPr>
            <a:xfrm flipH="1" flipV="1">
              <a:off x="7162800" y="31623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3" name="172 Conector recto"/>
            <xdr:cNvCxnSpPr/>
          </xdr:nvCxnSpPr>
          <xdr:spPr>
            <a:xfrm flipH="1" flipV="1">
              <a:off x="7820025" y="25336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4" name="173 Conector recto"/>
            <xdr:cNvCxnSpPr/>
          </xdr:nvCxnSpPr>
          <xdr:spPr>
            <a:xfrm flipH="1" flipV="1">
              <a:off x="8486775" y="18669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5" name="174 Conector recto"/>
            <xdr:cNvCxnSpPr/>
          </xdr:nvCxnSpPr>
          <xdr:spPr>
            <a:xfrm flipH="1" flipV="1">
              <a:off x="9115425" y="12382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6" name="175 Conector recto"/>
            <xdr:cNvCxnSpPr/>
          </xdr:nvCxnSpPr>
          <xdr:spPr>
            <a:xfrm flipH="1" flipV="1">
              <a:off x="4562475" y="58197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52" name="351 Grupo"/>
          <xdr:cNvGrpSpPr/>
        </xdr:nvGrpSpPr>
        <xdr:grpSpPr>
          <a:xfrm>
            <a:off x="2724150" y="1333500"/>
            <a:ext cx="4933950" cy="6086475"/>
            <a:chOff x="4210050" y="1352550"/>
            <a:chExt cx="4933950" cy="6086475"/>
          </a:xfrm>
        </xdr:grpSpPr>
        <xdr:sp macro="" textlink="">
          <xdr:nvSpPr>
            <xdr:cNvPr id="53" name="52 Cubo"/>
            <xdr:cNvSpPr/>
          </xdr:nvSpPr>
          <xdr:spPr>
            <a:xfrm>
              <a:off x="8486775" y="25241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56" name="55 Cubo"/>
            <xdr:cNvSpPr/>
          </xdr:nvSpPr>
          <xdr:spPr>
            <a:xfrm>
              <a:off x="8162925" y="28479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59" name="58 Cubo"/>
            <xdr:cNvSpPr/>
          </xdr:nvSpPr>
          <xdr:spPr>
            <a:xfrm>
              <a:off x="7829550" y="31813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62" name="61 Cubo"/>
            <xdr:cNvSpPr/>
          </xdr:nvSpPr>
          <xdr:spPr>
            <a:xfrm>
              <a:off x="7505700" y="35052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65" name="64 Cubo"/>
            <xdr:cNvSpPr/>
          </xdr:nvSpPr>
          <xdr:spPr>
            <a:xfrm>
              <a:off x="7172325" y="38481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68" name="67 Cubo"/>
            <xdr:cNvSpPr/>
          </xdr:nvSpPr>
          <xdr:spPr>
            <a:xfrm>
              <a:off x="6848475" y="41719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71" name="70 Cubo"/>
            <xdr:cNvSpPr/>
          </xdr:nvSpPr>
          <xdr:spPr>
            <a:xfrm>
              <a:off x="6515100" y="45053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74" name="73 Cubo"/>
            <xdr:cNvSpPr/>
          </xdr:nvSpPr>
          <xdr:spPr>
            <a:xfrm>
              <a:off x="6191250" y="48291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22" name="121 Cubo"/>
            <xdr:cNvSpPr/>
          </xdr:nvSpPr>
          <xdr:spPr>
            <a:xfrm>
              <a:off x="5857875" y="51720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25" name="124 Cubo"/>
            <xdr:cNvSpPr/>
          </xdr:nvSpPr>
          <xdr:spPr>
            <a:xfrm>
              <a:off x="5534025" y="54959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28" name="127 Cubo"/>
            <xdr:cNvSpPr/>
          </xdr:nvSpPr>
          <xdr:spPr>
            <a:xfrm>
              <a:off x="5200650" y="58388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31" name="130 Cubo"/>
            <xdr:cNvSpPr/>
          </xdr:nvSpPr>
          <xdr:spPr>
            <a:xfrm>
              <a:off x="4876800" y="61626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34" name="133 Cubo"/>
            <xdr:cNvSpPr/>
          </xdr:nvSpPr>
          <xdr:spPr>
            <a:xfrm>
              <a:off x="4543425" y="64960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37" name="136 Cubo"/>
            <xdr:cNvSpPr/>
          </xdr:nvSpPr>
          <xdr:spPr>
            <a:xfrm>
              <a:off x="4219575" y="68199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grpSp>
          <xdr:nvGrpSpPr>
            <xdr:cNvPr id="238" name="237 Grupo"/>
            <xdr:cNvGrpSpPr/>
          </xdr:nvGrpSpPr>
          <xdr:grpSpPr>
            <a:xfrm>
              <a:off x="4210050" y="1352550"/>
              <a:ext cx="4933950" cy="5495925"/>
              <a:chOff x="4210050" y="1352550"/>
              <a:chExt cx="4933950" cy="5495925"/>
            </a:xfrm>
          </xdr:grpSpPr>
          <xdr:sp macro="" textlink="">
            <xdr:nvSpPr>
              <xdr:cNvPr id="54" name="53 Cubo"/>
              <xdr:cNvSpPr/>
            </xdr:nvSpPr>
            <xdr:spPr>
              <a:xfrm>
                <a:off x="8496300" y="19335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55" name="54 Cubo"/>
              <xdr:cNvSpPr/>
            </xdr:nvSpPr>
            <xdr:spPr>
              <a:xfrm>
                <a:off x="8477250" y="13525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57" name="56 Cubo"/>
              <xdr:cNvSpPr/>
            </xdr:nvSpPr>
            <xdr:spPr>
              <a:xfrm>
                <a:off x="8172450" y="22574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58" name="57 Cubo"/>
              <xdr:cNvSpPr/>
            </xdr:nvSpPr>
            <xdr:spPr>
              <a:xfrm>
                <a:off x="8153400" y="16859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60" name="59 Cubo"/>
              <xdr:cNvSpPr/>
            </xdr:nvSpPr>
            <xdr:spPr>
              <a:xfrm>
                <a:off x="7839075" y="25908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61" name="60 Cubo"/>
              <xdr:cNvSpPr/>
            </xdr:nvSpPr>
            <xdr:spPr>
              <a:xfrm>
                <a:off x="7820025" y="20097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63" name="62 Cubo"/>
              <xdr:cNvSpPr/>
            </xdr:nvSpPr>
            <xdr:spPr>
              <a:xfrm>
                <a:off x="7515225" y="29146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64" name="63 Cubo"/>
              <xdr:cNvSpPr/>
            </xdr:nvSpPr>
            <xdr:spPr>
              <a:xfrm>
                <a:off x="7496175" y="23431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66" name="65 Cubo"/>
              <xdr:cNvSpPr/>
            </xdr:nvSpPr>
            <xdr:spPr>
              <a:xfrm>
                <a:off x="7181850" y="32575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67" name="66 Cubo"/>
              <xdr:cNvSpPr/>
            </xdr:nvSpPr>
            <xdr:spPr>
              <a:xfrm>
                <a:off x="7162800" y="26765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69" name="68 Cubo"/>
              <xdr:cNvSpPr/>
            </xdr:nvSpPr>
            <xdr:spPr>
              <a:xfrm>
                <a:off x="6858000" y="35814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70" name="69 Cubo"/>
              <xdr:cNvSpPr/>
            </xdr:nvSpPr>
            <xdr:spPr>
              <a:xfrm>
                <a:off x="6838950" y="30099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72" name="71 Cubo"/>
              <xdr:cNvSpPr/>
            </xdr:nvSpPr>
            <xdr:spPr>
              <a:xfrm>
                <a:off x="6524625" y="39147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73" name="72 Cubo"/>
              <xdr:cNvSpPr/>
            </xdr:nvSpPr>
            <xdr:spPr>
              <a:xfrm>
                <a:off x="6505575" y="33337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75" name="74 Cubo"/>
              <xdr:cNvSpPr/>
            </xdr:nvSpPr>
            <xdr:spPr>
              <a:xfrm>
                <a:off x="6200775" y="42386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76" name="75 Cubo"/>
              <xdr:cNvSpPr/>
            </xdr:nvSpPr>
            <xdr:spPr>
              <a:xfrm>
                <a:off x="6181725" y="36671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23" name="122 Cubo"/>
              <xdr:cNvSpPr/>
            </xdr:nvSpPr>
            <xdr:spPr>
              <a:xfrm>
                <a:off x="5867400" y="45815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24" name="123 Cubo"/>
              <xdr:cNvSpPr/>
            </xdr:nvSpPr>
            <xdr:spPr>
              <a:xfrm>
                <a:off x="5848350" y="40005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26" name="125 Cubo"/>
              <xdr:cNvSpPr/>
            </xdr:nvSpPr>
            <xdr:spPr>
              <a:xfrm>
                <a:off x="5543550" y="49053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27" name="126 Cubo"/>
              <xdr:cNvSpPr/>
            </xdr:nvSpPr>
            <xdr:spPr>
              <a:xfrm>
                <a:off x="5524500" y="43338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29" name="128 Cubo"/>
              <xdr:cNvSpPr/>
            </xdr:nvSpPr>
            <xdr:spPr>
              <a:xfrm>
                <a:off x="5210175" y="52482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30" name="129 Cubo"/>
              <xdr:cNvSpPr/>
            </xdr:nvSpPr>
            <xdr:spPr>
              <a:xfrm>
                <a:off x="5191125" y="46672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32" name="131 Cubo"/>
              <xdr:cNvSpPr/>
            </xdr:nvSpPr>
            <xdr:spPr>
              <a:xfrm>
                <a:off x="4886325" y="55721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33" name="132 Cubo"/>
              <xdr:cNvSpPr/>
            </xdr:nvSpPr>
            <xdr:spPr>
              <a:xfrm>
                <a:off x="4867275" y="50006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35" name="134 Cubo"/>
              <xdr:cNvSpPr/>
            </xdr:nvSpPr>
            <xdr:spPr>
              <a:xfrm>
                <a:off x="4552950" y="59055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36" name="135 Cubo"/>
              <xdr:cNvSpPr/>
            </xdr:nvSpPr>
            <xdr:spPr>
              <a:xfrm>
                <a:off x="4533900" y="53244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38" name="137 Cubo"/>
              <xdr:cNvSpPr/>
            </xdr:nvSpPr>
            <xdr:spPr>
              <a:xfrm>
                <a:off x="4229100" y="62293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39" name="138 Cubo"/>
              <xdr:cNvSpPr/>
            </xdr:nvSpPr>
            <xdr:spPr>
              <a:xfrm>
                <a:off x="4210050" y="56578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</xdr:grpSp>
      </xdr:grpSp>
      <xdr:grpSp>
        <xdr:nvGrpSpPr>
          <xdr:cNvPr id="353" name="352 Grupo"/>
          <xdr:cNvGrpSpPr/>
        </xdr:nvGrpSpPr>
        <xdr:grpSpPr>
          <a:xfrm>
            <a:off x="3067050" y="1228725"/>
            <a:ext cx="4581525" cy="6219825"/>
            <a:chOff x="4562475" y="1238250"/>
            <a:chExt cx="4581525" cy="6219825"/>
          </a:xfrm>
        </xdr:grpSpPr>
        <xdr:cxnSp macro="">
          <xdr:nvCxnSpPr>
            <xdr:cNvPr id="354" name="353 Conector recto"/>
            <xdr:cNvCxnSpPr/>
          </xdr:nvCxnSpPr>
          <xdr:spPr>
            <a:xfrm flipH="1" flipV="1">
              <a:off x="5191125" y="51720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354 Conector recto"/>
            <xdr:cNvCxnSpPr/>
          </xdr:nvCxnSpPr>
          <xdr:spPr>
            <a:xfrm flipH="1" flipV="1">
              <a:off x="5857875" y="45053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6" name="355 Conector recto"/>
            <xdr:cNvCxnSpPr/>
          </xdr:nvCxnSpPr>
          <xdr:spPr>
            <a:xfrm flipH="1" flipV="1">
              <a:off x="6505575" y="38195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7" name="356 Conector recto"/>
            <xdr:cNvCxnSpPr/>
          </xdr:nvCxnSpPr>
          <xdr:spPr>
            <a:xfrm flipH="1" flipV="1">
              <a:off x="7162800" y="31623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357 Conector recto"/>
            <xdr:cNvCxnSpPr/>
          </xdr:nvCxnSpPr>
          <xdr:spPr>
            <a:xfrm flipH="1" flipV="1">
              <a:off x="7820025" y="25336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9" name="358 Conector recto"/>
            <xdr:cNvCxnSpPr/>
          </xdr:nvCxnSpPr>
          <xdr:spPr>
            <a:xfrm flipH="1" flipV="1">
              <a:off x="8486775" y="18669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0" name="359 Conector recto"/>
            <xdr:cNvCxnSpPr/>
          </xdr:nvCxnSpPr>
          <xdr:spPr>
            <a:xfrm flipH="1" flipV="1">
              <a:off x="9115425" y="12382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1" name="360 Conector recto"/>
            <xdr:cNvCxnSpPr/>
          </xdr:nvCxnSpPr>
          <xdr:spPr>
            <a:xfrm flipH="1" flipV="1">
              <a:off x="4562475" y="58197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63" name="362 Conector recto"/>
          <xdr:cNvCxnSpPr/>
        </xdr:nvCxnSpPr>
        <xdr:spPr>
          <a:xfrm flipV="1">
            <a:off x="3076575" y="2276475"/>
            <a:ext cx="4572000" cy="4572000"/>
          </a:xfrm>
          <a:prstGeom prst="line">
            <a:avLst/>
          </a:prstGeom>
          <a:ln w="381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363 Conector recto"/>
          <xdr:cNvCxnSpPr/>
        </xdr:nvCxnSpPr>
        <xdr:spPr>
          <a:xfrm flipV="1">
            <a:off x="3067050" y="1704975"/>
            <a:ext cx="4572000" cy="4572000"/>
          </a:xfrm>
          <a:prstGeom prst="line">
            <a:avLst/>
          </a:prstGeom>
          <a:ln w="381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557213</xdr:colOff>
      <xdr:row>39</xdr:row>
      <xdr:rowOff>80962</xdr:rowOff>
    </xdr:from>
    <xdr:to>
      <xdr:col>7</xdr:col>
      <xdr:colOff>100013</xdr:colOff>
      <xdr:row>41</xdr:row>
      <xdr:rowOff>19049</xdr:rowOff>
    </xdr:to>
    <xdr:sp macro="" textlink="">
      <xdr:nvSpPr>
        <xdr:cNvPr id="561" name="560 CuadroTexto"/>
        <xdr:cNvSpPr txBox="1"/>
      </xdr:nvSpPr>
      <xdr:spPr>
        <a:xfrm>
          <a:off x="5129213" y="7510462"/>
          <a:ext cx="304800" cy="31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I</a:t>
          </a:r>
          <a:endParaRPr lang="es-AR" sz="1100" b="1"/>
        </a:p>
      </xdr:txBody>
    </xdr:sp>
    <xdr:clientData/>
  </xdr:twoCellAnchor>
  <xdr:twoCellAnchor>
    <xdr:from>
      <xdr:col>7</xdr:col>
      <xdr:colOff>119062</xdr:colOff>
      <xdr:row>35</xdr:row>
      <xdr:rowOff>109537</xdr:rowOff>
    </xdr:from>
    <xdr:to>
      <xdr:col>7</xdr:col>
      <xdr:colOff>423862</xdr:colOff>
      <xdr:row>37</xdr:row>
      <xdr:rowOff>66674</xdr:rowOff>
    </xdr:to>
    <xdr:sp macro="" textlink="">
      <xdr:nvSpPr>
        <xdr:cNvPr id="563" name="562 CuadroTexto"/>
        <xdr:cNvSpPr txBox="1"/>
      </xdr:nvSpPr>
      <xdr:spPr>
        <a:xfrm>
          <a:off x="5453062" y="6777037"/>
          <a:ext cx="304800" cy="3381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B</a:t>
          </a:r>
          <a:endParaRPr lang="es-AR" sz="1100" b="1"/>
        </a:p>
      </xdr:txBody>
    </xdr:sp>
    <xdr:clientData/>
  </xdr:twoCellAnchor>
  <xdr:twoCellAnchor>
    <xdr:from>
      <xdr:col>7</xdr:col>
      <xdr:colOff>138112</xdr:colOff>
      <xdr:row>38</xdr:row>
      <xdr:rowOff>123825</xdr:rowOff>
    </xdr:from>
    <xdr:to>
      <xdr:col>7</xdr:col>
      <xdr:colOff>442912</xdr:colOff>
      <xdr:row>40</xdr:row>
      <xdr:rowOff>14287</xdr:rowOff>
    </xdr:to>
    <xdr:sp macro="" textlink="">
      <xdr:nvSpPr>
        <xdr:cNvPr id="564" name="563 CuadroTexto"/>
        <xdr:cNvSpPr txBox="1"/>
      </xdr:nvSpPr>
      <xdr:spPr>
        <a:xfrm>
          <a:off x="5472112" y="7362825"/>
          <a:ext cx="304800" cy="271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A</a:t>
          </a:r>
          <a:endParaRPr lang="es-AR" sz="1100" b="1"/>
        </a:p>
      </xdr:txBody>
    </xdr:sp>
    <xdr:clientData/>
  </xdr:twoCellAnchor>
  <xdr:twoCellAnchor>
    <xdr:from>
      <xdr:col>6</xdr:col>
      <xdr:colOff>724514</xdr:colOff>
      <xdr:row>31</xdr:row>
      <xdr:rowOff>182398</xdr:rowOff>
    </xdr:from>
    <xdr:to>
      <xdr:col>7</xdr:col>
      <xdr:colOff>137700</xdr:colOff>
      <xdr:row>33</xdr:row>
      <xdr:rowOff>23695</xdr:rowOff>
    </xdr:to>
    <xdr:sp macro="" textlink="">
      <xdr:nvSpPr>
        <xdr:cNvPr id="565" name="564 CuadroTexto"/>
        <xdr:cNvSpPr txBox="1"/>
      </xdr:nvSpPr>
      <xdr:spPr>
        <a:xfrm rot="2569214">
          <a:off x="5296514" y="6087898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1</a:t>
          </a:r>
        </a:p>
      </xdr:txBody>
    </xdr:sp>
    <xdr:clientData/>
  </xdr:twoCellAnchor>
  <xdr:twoCellAnchor>
    <xdr:from>
      <xdr:col>7</xdr:col>
      <xdr:colOff>319086</xdr:colOff>
      <xdr:row>30</xdr:row>
      <xdr:rowOff>47625</xdr:rowOff>
    </xdr:from>
    <xdr:to>
      <xdr:col>7</xdr:col>
      <xdr:colOff>494272</xdr:colOff>
      <xdr:row>31</xdr:row>
      <xdr:rowOff>79422</xdr:rowOff>
    </xdr:to>
    <xdr:sp macro="" textlink="">
      <xdr:nvSpPr>
        <xdr:cNvPr id="566" name="565 CuadroTexto"/>
        <xdr:cNvSpPr txBox="1"/>
      </xdr:nvSpPr>
      <xdr:spPr>
        <a:xfrm rot="2569214">
          <a:off x="5653086" y="5762625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2</a:t>
          </a:r>
        </a:p>
      </xdr:txBody>
    </xdr:sp>
    <xdr:clientData/>
  </xdr:twoCellAnchor>
  <xdr:twoCellAnchor>
    <xdr:from>
      <xdr:col>7</xdr:col>
      <xdr:colOff>638175</xdr:colOff>
      <xdr:row>28</xdr:row>
      <xdr:rowOff>100013</xdr:rowOff>
    </xdr:from>
    <xdr:to>
      <xdr:col>8</xdr:col>
      <xdr:colOff>51361</xdr:colOff>
      <xdr:row>29</xdr:row>
      <xdr:rowOff>131810</xdr:rowOff>
    </xdr:to>
    <xdr:sp macro="" textlink="">
      <xdr:nvSpPr>
        <xdr:cNvPr id="567" name="566 CuadroTexto"/>
        <xdr:cNvSpPr txBox="1"/>
      </xdr:nvSpPr>
      <xdr:spPr>
        <a:xfrm rot="2569214">
          <a:off x="5972175" y="5434013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3</a:t>
          </a:r>
        </a:p>
      </xdr:txBody>
    </xdr:sp>
    <xdr:clientData/>
  </xdr:twoCellAnchor>
  <xdr:twoCellAnchor>
    <xdr:from>
      <xdr:col>8</xdr:col>
      <xdr:colOff>204788</xdr:colOff>
      <xdr:row>26</xdr:row>
      <xdr:rowOff>142874</xdr:rowOff>
    </xdr:from>
    <xdr:to>
      <xdr:col>8</xdr:col>
      <xdr:colOff>379974</xdr:colOff>
      <xdr:row>27</xdr:row>
      <xdr:rowOff>174671</xdr:rowOff>
    </xdr:to>
    <xdr:sp macro="" textlink="">
      <xdr:nvSpPr>
        <xdr:cNvPr id="568" name="567 CuadroTexto"/>
        <xdr:cNvSpPr txBox="1"/>
      </xdr:nvSpPr>
      <xdr:spPr>
        <a:xfrm rot="2569214">
          <a:off x="6300788" y="5095874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4</a:t>
          </a:r>
        </a:p>
      </xdr:txBody>
    </xdr:sp>
    <xdr:clientData/>
  </xdr:twoCellAnchor>
  <xdr:twoCellAnchor>
    <xdr:from>
      <xdr:col>8</xdr:col>
      <xdr:colOff>528637</xdr:colOff>
      <xdr:row>25</xdr:row>
      <xdr:rowOff>9525</xdr:rowOff>
    </xdr:from>
    <xdr:to>
      <xdr:col>8</xdr:col>
      <xdr:colOff>703823</xdr:colOff>
      <xdr:row>26</xdr:row>
      <xdr:rowOff>41322</xdr:rowOff>
    </xdr:to>
    <xdr:sp macro="" textlink="">
      <xdr:nvSpPr>
        <xdr:cNvPr id="569" name="568 CuadroTexto"/>
        <xdr:cNvSpPr txBox="1"/>
      </xdr:nvSpPr>
      <xdr:spPr>
        <a:xfrm rot="2569214">
          <a:off x="6624637" y="4772025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5</a:t>
          </a:r>
        </a:p>
      </xdr:txBody>
    </xdr:sp>
    <xdr:clientData/>
  </xdr:twoCellAnchor>
  <xdr:twoCellAnchor>
    <xdr:from>
      <xdr:col>9</xdr:col>
      <xdr:colOff>109537</xdr:colOff>
      <xdr:row>23</xdr:row>
      <xdr:rowOff>47626</xdr:rowOff>
    </xdr:from>
    <xdr:to>
      <xdr:col>9</xdr:col>
      <xdr:colOff>284723</xdr:colOff>
      <xdr:row>24</xdr:row>
      <xdr:rowOff>79423</xdr:rowOff>
    </xdr:to>
    <xdr:sp macro="" textlink="">
      <xdr:nvSpPr>
        <xdr:cNvPr id="570" name="569 CuadroTexto"/>
        <xdr:cNvSpPr txBox="1"/>
      </xdr:nvSpPr>
      <xdr:spPr>
        <a:xfrm rot="2569214">
          <a:off x="6967537" y="4429126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6</a:t>
          </a:r>
        </a:p>
      </xdr:txBody>
    </xdr:sp>
    <xdr:clientData/>
  </xdr:twoCellAnchor>
  <xdr:twoCellAnchor>
    <xdr:from>
      <xdr:col>9</xdr:col>
      <xdr:colOff>442912</xdr:colOff>
      <xdr:row>21</xdr:row>
      <xdr:rowOff>52388</xdr:rowOff>
    </xdr:from>
    <xdr:to>
      <xdr:col>9</xdr:col>
      <xdr:colOff>618098</xdr:colOff>
      <xdr:row>22</xdr:row>
      <xdr:rowOff>84185</xdr:rowOff>
    </xdr:to>
    <xdr:sp macro="" textlink="">
      <xdr:nvSpPr>
        <xdr:cNvPr id="571" name="570 CuadroTexto"/>
        <xdr:cNvSpPr txBox="1"/>
      </xdr:nvSpPr>
      <xdr:spPr>
        <a:xfrm rot="2569214">
          <a:off x="7300912" y="4052888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7</a:t>
          </a:r>
        </a:p>
      </xdr:txBody>
    </xdr:sp>
    <xdr:clientData/>
  </xdr:twoCellAnchor>
  <xdr:twoCellAnchor>
    <xdr:from>
      <xdr:col>10</xdr:col>
      <xdr:colOff>4761</xdr:colOff>
      <xdr:row>19</xdr:row>
      <xdr:rowOff>147637</xdr:rowOff>
    </xdr:from>
    <xdr:to>
      <xdr:col>10</xdr:col>
      <xdr:colOff>179947</xdr:colOff>
      <xdr:row>20</xdr:row>
      <xdr:rowOff>179434</xdr:rowOff>
    </xdr:to>
    <xdr:sp macro="" textlink="">
      <xdr:nvSpPr>
        <xdr:cNvPr id="572" name="571 CuadroTexto"/>
        <xdr:cNvSpPr txBox="1"/>
      </xdr:nvSpPr>
      <xdr:spPr>
        <a:xfrm rot="2569214">
          <a:off x="7624761" y="3767137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8</a:t>
          </a:r>
        </a:p>
      </xdr:txBody>
    </xdr:sp>
    <xdr:clientData/>
  </xdr:twoCellAnchor>
  <xdr:twoCellAnchor>
    <xdr:from>
      <xdr:col>10</xdr:col>
      <xdr:colOff>357187</xdr:colOff>
      <xdr:row>17</xdr:row>
      <xdr:rowOff>147638</xdr:rowOff>
    </xdr:from>
    <xdr:to>
      <xdr:col>10</xdr:col>
      <xdr:colOff>532373</xdr:colOff>
      <xdr:row>18</xdr:row>
      <xdr:rowOff>179435</xdr:rowOff>
    </xdr:to>
    <xdr:sp macro="" textlink="">
      <xdr:nvSpPr>
        <xdr:cNvPr id="573" name="572 CuadroTexto"/>
        <xdr:cNvSpPr txBox="1"/>
      </xdr:nvSpPr>
      <xdr:spPr>
        <a:xfrm rot="2569214">
          <a:off x="7977187" y="3386138"/>
          <a:ext cx="175186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9</a:t>
          </a:r>
        </a:p>
      </xdr:txBody>
    </xdr:sp>
    <xdr:clientData/>
  </xdr:twoCellAnchor>
  <xdr:twoCellAnchor>
    <xdr:from>
      <xdr:col>10</xdr:col>
      <xdr:colOff>580331</xdr:colOff>
      <xdr:row>16</xdr:row>
      <xdr:rowOff>17315</xdr:rowOff>
    </xdr:from>
    <xdr:to>
      <xdr:col>11</xdr:col>
      <xdr:colOff>205708</xdr:colOff>
      <xdr:row>17</xdr:row>
      <xdr:rowOff>49112</xdr:rowOff>
    </xdr:to>
    <xdr:sp macro="" textlink="">
      <xdr:nvSpPr>
        <xdr:cNvPr id="574" name="573 CuadroTexto"/>
        <xdr:cNvSpPr txBox="1"/>
      </xdr:nvSpPr>
      <xdr:spPr>
        <a:xfrm rot="1561280">
          <a:off x="8200331" y="3065315"/>
          <a:ext cx="387377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10</a:t>
          </a:r>
        </a:p>
      </xdr:txBody>
    </xdr:sp>
    <xdr:clientData/>
  </xdr:twoCellAnchor>
  <xdr:twoCellAnchor>
    <xdr:from>
      <xdr:col>11</xdr:col>
      <xdr:colOff>166688</xdr:colOff>
      <xdr:row>14</xdr:row>
      <xdr:rowOff>66676</xdr:rowOff>
    </xdr:from>
    <xdr:to>
      <xdr:col>11</xdr:col>
      <xdr:colOff>554065</xdr:colOff>
      <xdr:row>15</xdr:row>
      <xdr:rowOff>98473</xdr:rowOff>
    </xdr:to>
    <xdr:sp macro="" textlink="">
      <xdr:nvSpPr>
        <xdr:cNvPr id="577" name="576 CuadroTexto"/>
        <xdr:cNvSpPr txBox="1"/>
      </xdr:nvSpPr>
      <xdr:spPr>
        <a:xfrm rot="2055619">
          <a:off x="8548688" y="2733676"/>
          <a:ext cx="387377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11</a:t>
          </a:r>
        </a:p>
      </xdr:txBody>
    </xdr:sp>
    <xdr:clientData/>
  </xdr:twoCellAnchor>
  <xdr:twoCellAnchor>
    <xdr:from>
      <xdr:col>11</xdr:col>
      <xdr:colOff>452438</xdr:colOff>
      <xdr:row>12</xdr:row>
      <xdr:rowOff>152400</xdr:rowOff>
    </xdr:from>
    <xdr:to>
      <xdr:col>12</xdr:col>
      <xdr:colOff>77815</xdr:colOff>
      <xdr:row>13</xdr:row>
      <xdr:rowOff>184197</xdr:rowOff>
    </xdr:to>
    <xdr:sp macro="" textlink="">
      <xdr:nvSpPr>
        <xdr:cNvPr id="578" name="577 CuadroTexto"/>
        <xdr:cNvSpPr txBox="1"/>
      </xdr:nvSpPr>
      <xdr:spPr>
        <a:xfrm rot="1561280">
          <a:off x="8834438" y="2438400"/>
          <a:ext cx="387377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12</a:t>
          </a:r>
        </a:p>
      </xdr:txBody>
    </xdr:sp>
    <xdr:clientData/>
  </xdr:twoCellAnchor>
  <xdr:twoCellAnchor>
    <xdr:from>
      <xdr:col>12</xdr:col>
      <xdr:colOff>361950</xdr:colOff>
      <xdr:row>9</xdr:row>
      <xdr:rowOff>76199</xdr:rowOff>
    </xdr:from>
    <xdr:to>
      <xdr:col>12</xdr:col>
      <xdr:colOff>749327</xdr:colOff>
      <xdr:row>10</xdr:row>
      <xdr:rowOff>107996</xdr:rowOff>
    </xdr:to>
    <xdr:sp macro="" textlink="">
      <xdr:nvSpPr>
        <xdr:cNvPr id="579" name="578 CuadroTexto"/>
        <xdr:cNvSpPr txBox="1"/>
      </xdr:nvSpPr>
      <xdr:spPr>
        <a:xfrm rot="1561280">
          <a:off x="9505950" y="1790699"/>
          <a:ext cx="387377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14</a:t>
          </a:r>
        </a:p>
      </xdr:txBody>
    </xdr:sp>
    <xdr:clientData/>
  </xdr:twoCellAnchor>
  <xdr:twoCellAnchor>
    <xdr:from>
      <xdr:col>12</xdr:col>
      <xdr:colOff>19050</xdr:colOff>
      <xdr:row>11</xdr:row>
      <xdr:rowOff>28574</xdr:rowOff>
    </xdr:from>
    <xdr:to>
      <xdr:col>12</xdr:col>
      <xdr:colOff>406427</xdr:colOff>
      <xdr:row>12</xdr:row>
      <xdr:rowOff>60371</xdr:rowOff>
    </xdr:to>
    <xdr:sp macro="" textlink="">
      <xdr:nvSpPr>
        <xdr:cNvPr id="580" name="579 CuadroTexto"/>
        <xdr:cNvSpPr txBox="1"/>
      </xdr:nvSpPr>
      <xdr:spPr>
        <a:xfrm rot="1561280">
          <a:off x="9163050" y="2124074"/>
          <a:ext cx="387377" cy="222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1100"/>
            <a:t>13</a:t>
          </a:r>
        </a:p>
      </xdr:txBody>
    </xdr:sp>
    <xdr:clientData/>
  </xdr:twoCellAnchor>
  <xdr:twoCellAnchor>
    <xdr:from>
      <xdr:col>8</xdr:col>
      <xdr:colOff>104775</xdr:colOff>
      <xdr:row>8</xdr:row>
      <xdr:rowOff>133350</xdr:rowOff>
    </xdr:from>
    <xdr:to>
      <xdr:col>14</xdr:col>
      <xdr:colOff>485775</xdr:colOff>
      <xdr:row>41</xdr:row>
      <xdr:rowOff>85725</xdr:rowOff>
    </xdr:to>
    <xdr:grpSp>
      <xdr:nvGrpSpPr>
        <xdr:cNvPr id="87" name="86 Grupo"/>
        <xdr:cNvGrpSpPr/>
      </xdr:nvGrpSpPr>
      <xdr:grpSpPr>
        <a:xfrm>
          <a:off x="6200775" y="1657350"/>
          <a:ext cx="4953000" cy="6238875"/>
          <a:chOff x="2705100" y="1209675"/>
          <a:chExt cx="4953000" cy="6238875"/>
        </a:xfrm>
      </xdr:grpSpPr>
      <xdr:grpSp>
        <xdr:nvGrpSpPr>
          <xdr:cNvPr id="88" name="167 Grupo"/>
          <xdr:cNvGrpSpPr/>
        </xdr:nvGrpSpPr>
        <xdr:grpSpPr>
          <a:xfrm>
            <a:off x="2705100" y="1209675"/>
            <a:ext cx="4581525" cy="6219825"/>
            <a:chOff x="4562475" y="1238250"/>
            <a:chExt cx="4581525" cy="6219825"/>
          </a:xfrm>
        </xdr:grpSpPr>
        <xdr:cxnSp macro="">
          <xdr:nvCxnSpPr>
            <xdr:cNvPr id="162" name="161 Conector recto"/>
            <xdr:cNvCxnSpPr/>
          </xdr:nvCxnSpPr>
          <xdr:spPr>
            <a:xfrm flipH="1" flipV="1">
              <a:off x="5191125" y="51720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3" name="162 Conector recto"/>
            <xdr:cNvCxnSpPr/>
          </xdr:nvCxnSpPr>
          <xdr:spPr>
            <a:xfrm flipH="1" flipV="1">
              <a:off x="5857875" y="45053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4" name="163 Conector recto"/>
            <xdr:cNvCxnSpPr/>
          </xdr:nvCxnSpPr>
          <xdr:spPr>
            <a:xfrm flipH="1" flipV="1">
              <a:off x="6505575" y="38195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5" name="164 Conector recto"/>
            <xdr:cNvCxnSpPr/>
          </xdr:nvCxnSpPr>
          <xdr:spPr>
            <a:xfrm flipH="1" flipV="1">
              <a:off x="7162800" y="31623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6" name="165 Conector recto"/>
            <xdr:cNvCxnSpPr/>
          </xdr:nvCxnSpPr>
          <xdr:spPr>
            <a:xfrm flipH="1" flipV="1">
              <a:off x="7820025" y="25336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67" name="166 Conector recto"/>
            <xdr:cNvCxnSpPr/>
          </xdr:nvCxnSpPr>
          <xdr:spPr>
            <a:xfrm flipH="1" flipV="1">
              <a:off x="8486775" y="18669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7" name="176 Conector recto"/>
            <xdr:cNvCxnSpPr/>
          </xdr:nvCxnSpPr>
          <xdr:spPr>
            <a:xfrm flipH="1" flipV="1">
              <a:off x="9115425" y="12382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8" name="177 Conector recto"/>
            <xdr:cNvCxnSpPr/>
          </xdr:nvCxnSpPr>
          <xdr:spPr>
            <a:xfrm flipH="1" flipV="1">
              <a:off x="4562475" y="58197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89" name="351 Grupo"/>
          <xdr:cNvGrpSpPr/>
        </xdr:nvGrpSpPr>
        <xdr:grpSpPr>
          <a:xfrm>
            <a:off x="2724150" y="1333500"/>
            <a:ext cx="4933950" cy="6086475"/>
            <a:chOff x="4210050" y="1352550"/>
            <a:chExt cx="4933950" cy="6086475"/>
          </a:xfrm>
        </xdr:grpSpPr>
        <xdr:sp macro="" textlink="">
          <xdr:nvSpPr>
            <xdr:cNvPr id="101" name="100 Cubo"/>
            <xdr:cNvSpPr/>
          </xdr:nvSpPr>
          <xdr:spPr>
            <a:xfrm>
              <a:off x="8486775" y="25241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02" name="101 Cubo"/>
            <xdr:cNvSpPr/>
          </xdr:nvSpPr>
          <xdr:spPr>
            <a:xfrm>
              <a:off x="8162925" y="28479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03" name="102 Cubo"/>
            <xdr:cNvSpPr/>
          </xdr:nvSpPr>
          <xdr:spPr>
            <a:xfrm>
              <a:off x="7829550" y="31813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04" name="103 Cubo"/>
            <xdr:cNvSpPr/>
          </xdr:nvSpPr>
          <xdr:spPr>
            <a:xfrm>
              <a:off x="7505700" y="35052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05" name="104 Cubo"/>
            <xdr:cNvSpPr/>
          </xdr:nvSpPr>
          <xdr:spPr>
            <a:xfrm>
              <a:off x="7172325" y="38481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06" name="105 Cubo"/>
            <xdr:cNvSpPr/>
          </xdr:nvSpPr>
          <xdr:spPr>
            <a:xfrm>
              <a:off x="6848475" y="41719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07" name="106 Cubo"/>
            <xdr:cNvSpPr/>
          </xdr:nvSpPr>
          <xdr:spPr>
            <a:xfrm>
              <a:off x="6515100" y="45053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08" name="107 Cubo"/>
            <xdr:cNvSpPr/>
          </xdr:nvSpPr>
          <xdr:spPr>
            <a:xfrm>
              <a:off x="6191250" y="48291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09" name="108 Cubo"/>
            <xdr:cNvSpPr/>
          </xdr:nvSpPr>
          <xdr:spPr>
            <a:xfrm>
              <a:off x="5857875" y="51720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10" name="109 Cubo"/>
            <xdr:cNvSpPr/>
          </xdr:nvSpPr>
          <xdr:spPr>
            <a:xfrm>
              <a:off x="5534025" y="54959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11" name="110 Cubo"/>
            <xdr:cNvSpPr/>
          </xdr:nvSpPr>
          <xdr:spPr>
            <a:xfrm>
              <a:off x="5200650" y="58388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12" name="111 Cubo"/>
            <xdr:cNvSpPr/>
          </xdr:nvSpPr>
          <xdr:spPr>
            <a:xfrm>
              <a:off x="4876800" y="61626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13" name="112 Cubo"/>
            <xdr:cNvSpPr/>
          </xdr:nvSpPr>
          <xdr:spPr>
            <a:xfrm>
              <a:off x="4543425" y="64960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14" name="113 Cubo"/>
            <xdr:cNvSpPr/>
          </xdr:nvSpPr>
          <xdr:spPr>
            <a:xfrm>
              <a:off x="4219575" y="68199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grpSp>
          <xdr:nvGrpSpPr>
            <xdr:cNvPr id="115" name="237 Grupo"/>
            <xdr:cNvGrpSpPr/>
          </xdr:nvGrpSpPr>
          <xdr:grpSpPr>
            <a:xfrm>
              <a:off x="4210050" y="1352550"/>
              <a:ext cx="4933950" cy="5495925"/>
              <a:chOff x="4210050" y="1352550"/>
              <a:chExt cx="4933950" cy="5495925"/>
            </a:xfrm>
          </xdr:grpSpPr>
          <xdr:sp macro="" textlink="">
            <xdr:nvSpPr>
              <xdr:cNvPr id="116" name="115 Cubo"/>
              <xdr:cNvSpPr/>
            </xdr:nvSpPr>
            <xdr:spPr>
              <a:xfrm>
                <a:off x="8496300" y="19335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17" name="116 Cubo"/>
              <xdr:cNvSpPr/>
            </xdr:nvSpPr>
            <xdr:spPr>
              <a:xfrm>
                <a:off x="8477250" y="13525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18" name="117 Cubo"/>
              <xdr:cNvSpPr/>
            </xdr:nvSpPr>
            <xdr:spPr>
              <a:xfrm>
                <a:off x="8172450" y="22574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19" name="118 Cubo"/>
              <xdr:cNvSpPr/>
            </xdr:nvSpPr>
            <xdr:spPr>
              <a:xfrm>
                <a:off x="8153400" y="16859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20" name="119 Cubo"/>
              <xdr:cNvSpPr/>
            </xdr:nvSpPr>
            <xdr:spPr>
              <a:xfrm>
                <a:off x="7839075" y="25908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21" name="120 Cubo"/>
              <xdr:cNvSpPr/>
            </xdr:nvSpPr>
            <xdr:spPr>
              <a:xfrm>
                <a:off x="7820025" y="20097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0" name="139 Cubo"/>
              <xdr:cNvSpPr/>
            </xdr:nvSpPr>
            <xdr:spPr>
              <a:xfrm>
                <a:off x="7515225" y="29146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1" name="140 Cubo"/>
              <xdr:cNvSpPr/>
            </xdr:nvSpPr>
            <xdr:spPr>
              <a:xfrm>
                <a:off x="7496175" y="23431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2" name="141 Cubo"/>
              <xdr:cNvSpPr/>
            </xdr:nvSpPr>
            <xdr:spPr>
              <a:xfrm>
                <a:off x="7181850" y="32575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3" name="142 Cubo"/>
              <xdr:cNvSpPr/>
            </xdr:nvSpPr>
            <xdr:spPr>
              <a:xfrm>
                <a:off x="7162800" y="26765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4" name="143 Cubo"/>
              <xdr:cNvSpPr/>
            </xdr:nvSpPr>
            <xdr:spPr>
              <a:xfrm>
                <a:off x="6858000" y="35814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5" name="144 Cubo"/>
              <xdr:cNvSpPr/>
            </xdr:nvSpPr>
            <xdr:spPr>
              <a:xfrm>
                <a:off x="6838950" y="30099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6" name="145 Cubo"/>
              <xdr:cNvSpPr/>
            </xdr:nvSpPr>
            <xdr:spPr>
              <a:xfrm>
                <a:off x="6524625" y="39147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7" name="146 Cubo"/>
              <xdr:cNvSpPr/>
            </xdr:nvSpPr>
            <xdr:spPr>
              <a:xfrm>
                <a:off x="6505575" y="33337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8" name="147 Cubo"/>
              <xdr:cNvSpPr/>
            </xdr:nvSpPr>
            <xdr:spPr>
              <a:xfrm>
                <a:off x="6200775" y="42386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49" name="148 Cubo"/>
              <xdr:cNvSpPr/>
            </xdr:nvSpPr>
            <xdr:spPr>
              <a:xfrm>
                <a:off x="6181725" y="36671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0" name="149 Cubo"/>
              <xdr:cNvSpPr/>
            </xdr:nvSpPr>
            <xdr:spPr>
              <a:xfrm>
                <a:off x="5867400" y="45815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1" name="150 Cubo"/>
              <xdr:cNvSpPr/>
            </xdr:nvSpPr>
            <xdr:spPr>
              <a:xfrm>
                <a:off x="5848350" y="40005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2" name="151 Cubo"/>
              <xdr:cNvSpPr/>
            </xdr:nvSpPr>
            <xdr:spPr>
              <a:xfrm>
                <a:off x="5543550" y="49053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3" name="152 Cubo"/>
              <xdr:cNvSpPr/>
            </xdr:nvSpPr>
            <xdr:spPr>
              <a:xfrm>
                <a:off x="5524500" y="43338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4" name="153 Cubo"/>
              <xdr:cNvSpPr/>
            </xdr:nvSpPr>
            <xdr:spPr>
              <a:xfrm>
                <a:off x="5210175" y="52482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5" name="154 Cubo"/>
              <xdr:cNvSpPr/>
            </xdr:nvSpPr>
            <xdr:spPr>
              <a:xfrm>
                <a:off x="5191125" y="46672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6" name="155 Cubo"/>
              <xdr:cNvSpPr/>
            </xdr:nvSpPr>
            <xdr:spPr>
              <a:xfrm>
                <a:off x="4886325" y="55721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7" name="156 Cubo"/>
              <xdr:cNvSpPr/>
            </xdr:nvSpPr>
            <xdr:spPr>
              <a:xfrm>
                <a:off x="4867275" y="50006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8" name="157 Cubo"/>
              <xdr:cNvSpPr/>
            </xdr:nvSpPr>
            <xdr:spPr>
              <a:xfrm>
                <a:off x="4552950" y="59055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59" name="158 Cubo"/>
              <xdr:cNvSpPr/>
            </xdr:nvSpPr>
            <xdr:spPr>
              <a:xfrm>
                <a:off x="4533900" y="53244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60" name="159 Cubo"/>
              <xdr:cNvSpPr/>
            </xdr:nvSpPr>
            <xdr:spPr>
              <a:xfrm>
                <a:off x="4229100" y="62293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161" name="160 Cubo"/>
              <xdr:cNvSpPr/>
            </xdr:nvSpPr>
            <xdr:spPr>
              <a:xfrm>
                <a:off x="4210050" y="56578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</xdr:grpSp>
      </xdr:grpSp>
      <xdr:grpSp>
        <xdr:nvGrpSpPr>
          <xdr:cNvPr id="90" name="352 Grupo"/>
          <xdr:cNvGrpSpPr/>
        </xdr:nvGrpSpPr>
        <xdr:grpSpPr>
          <a:xfrm>
            <a:off x="3067050" y="1228725"/>
            <a:ext cx="4581525" cy="6219825"/>
            <a:chOff x="4562475" y="1238250"/>
            <a:chExt cx="4581525" cy="6219825"/>
          </a:xfrm>
        </xdr:grpSpPr>
        <xdr:cxnSp macro="">
          <xdr:nvCxnSpPr>
            <xdr:cNvPr id="93" name="92 Conector recto"/>
            <xdr:cNvCxnSpPr/>
          </xdr:nvCxnSpPr>
          <xdr:spPr>
            <a:xfrm flipH="1" flipV="1">
              <a:off x="5191125" y="51720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4" name="93 Conector recto"/>
            <xdr:cNvCxnSpPr/>
          </xdr:nvCxnSpPr>
          <xdr:spPr>
            <a:xfrm flipH="1" flipV="1">
              <a:off x="5857875" y="45053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5" name="94 Conector recto"/>
            <xdr:cNvCxnSpPr/>
          </xdr:nvCxnSpPr>
          <xdr:spPr>
            <a:xfrm flipH="1" flipV="1">
              <a:off x="6505575" y="38195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6" name="95 Conector recto"/>
            <xdr:cNvCxnSpPr/>
          </xdr:nvCxnSpPr>
          <xdr:spPr>
            <a:xfrm flipH="1" flipV="1">
              <a:off x="7162800" y="31623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7" name="96 Conector recto"/>
            <xdr:cNvCxnSpPr/>
          </xdr:nvCxnSpPr>
          <xdr:spPr>
            <a:xfrm flipH="1" flipV="1">
              <a:off x="7820025" y="25336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" name="97 Conector recto"/>
            <xdr:cNvCxnSpPr/>
          </xdr:nvCxnSpPr>
          <xdr:spPr>
            <a:xfrm flipH="1" flipV="1">
              <a:off x="8486775" y="18669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98 Conector recto"/>
            <xdr:cNvCxnSpPr/>
          </xdr:nvCxnSpPr>
          <xdr:spPr>
            <a:xfrm flipH="1" flipV="1">
              <a:off x="9115425" y="12382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0" name="99 Conector recto"/>
            <xdr:cNvCxnSpPr/>
          </xdr:nvCxnSpPr>
          <xdr:spPr>
            <a:xfrm flipH="1" flipV="1">
              <a:off x="4562475" y="58197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1" name="90 Conector recto"/>
          <xdr:cNvCxnSpPr/>
        </xdr:nvCxnSpPr>
        <xdr:spPr>
          <a:xfrm flipV="1">
            <a:off x="3076575" y="2276475"/>
            <a:ext cx="4572000" cy="4572000"/>
          </a:xfrm>
          <a:prstGeom prst="line">
            <a:avLst/>
          </a:prstGeom>
          <a:ln w="381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91 Conector recto"/>
          <xdr:cNvCxnSpPr/>
        </xdr:nvCxnSpPr>
        <xdr:spPr>
          <a:xfrm flipV="1">
            <a:off x="3067050" y="1704975"/>
            <a:ext cx="4572000" cy="4572000"/>
          </a:xfrm>
          <a:prstGeom prst="line">
            <a:avLst/>
          </a:prstGeom>
          <a:ln w="381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485775</xdr:colOff>
      <xdr:row>8</xdr:row>
      <xdr:rowOff>133350</xdr:rowOff>
    </xdr:from>
    <xdr:to>
      <xdr:col>16</xdr:col>
      <xdr:colOff>104775</xdr:colOff>
      <xdr:row>41</xdr:row>
      <xdr:rowOff>85725</xdr:rowOff>
    </xdr:to>
    <xdr:grpSp>
      <xdr:nvGrpSpPr>
        <xdr:cNvPr id="179" name="178 Grupo"/>
        <xdr:cNvGrpSpPr/>
      </xdr:nvGrpSpPr>
      <xdr:grpSpPr>
        <a:xfrm>
          <a:off x="7343775" y="1657350"/>
          <a:ext cx="4953000" cy="6238875"/>
          <a:chOff x="2705100" y="1209675"/>
          <a:chExt cx="4953000" cy="6238875"/>
        </a:xfrm>
      </xdr:grpSpPr>
      <xdr:grpSp>
        <xdr:nvGrpSpPr>
          <xdr:cNvPr id="180" name="167 Grupo"/>
          <xdr:cNvGrpSpPr/>
        </xdr:nvGrpSpPr>
        <xdr:grpSpPr>
          <a:xfrm>
            <a:off x="2705100" y="1209675"/>
            <a:ext cx="4581525" cy="6219825"/>
            <a:chOff x="4562475" y="1238250"/>
            <a:chExt cx="4581525" cy="6219825"/>
          </a:xfrm>
        </xdr:grpSpPr>
        <xdr:cxnSp macro="">
          <xdr:nvCxnSpPr>
            <xdr:cNvPr id="236" name="235 Conector recto"/>
            <xdr:cNvCxnSpPr/>
          </xdr:nvCxnSpPr>
          <xdr:spPr>
            <a:xfrm flipH="1" flipV="1">
              <a:off x="5191125" y="51720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7" name="236 Conector recto"/>
            <xdr:cNvCxnSpPr/>
          </xdr:nvCxnSpPr>
          <xdr:spPr>
            <a:xfrm flipH="1" flipV="1">
              <a:off x="5857875" y="45053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238 Conector recto"/>
            <xdr:cNvCxnSpPr/>
          </xdr:nvCxnSpPr>
          <xdr:spPr>
            <a:xfrm flipH="1" flipV="1">
              <a:off x="6505575" y="38195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0" name="239 Conector recto"/>
            <xdr:cNvCxnSpPr/>
          </xdr:nvCxnSpPr>
          <xdr:spPr>
            <a:xfrm flipH="1" flipV="1">
              <a:off x="7162800" y="31623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1" name="240 Conector recto"/>
            <xdr:cNvCxnSpPr/>
          </xdr:nvCxnSpPr>
          <xdr:spPr>
            <a:xfrm flipH="1" flipV="1">
              <a:off x="7820025" y="25336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2" name="241 Conector recto"/>
            <xdr:cNvCxnSpPr/>
          </xdr:nvCxnSpPr>
          <xdr:spPr>
            <a:xfrm flipH="1" flipV="1">
              <a:off x="8486775" y="18669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3" name="242 Conector recto"/>
            <xdr:cNvCxnSpPr/>
          </xdr:nvCxnSpPr>
          <xdr:spPr>
            <a:xfrm flipH="1" flipV="1">
              <a:off x="9115425" y="12382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4" name="243 Conector recto"/>
            <xdr:cNvCxnSpPr/>
          </xdr:nvCxnSpPr>
          <xdr:spPr>
            <a:xfrm flipH="1" flipV="1">
              <a:off x="4562475" y="58197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81" name="351 Grupo"/>
          <xdr:cNvGrpSpPr/>
        </xdr:nvGrpSpPr>
        <xdr:grpSpPr>
          <a:xfrm>
            <a:off x="2724150" y="1333500"/>
            <a:ext cx="4933950" cy="6086475"/>
            <a:chOff x="4210050" y="1352550"/>
            <a:chExt cx="4933950" cy="6086475"/>
          </a:xfrm>
        </xdr:grpSpPr>
        <xdr:sp macro="" textlink="">
          <xdr:nvSpPr>
            <xdr:cNvPr id="193" name="192 Cubo"/>
            <xdr:cNvSpPr/>
          </xdr:nvSpPr>
          <xdr:spPr>
            <a:xfrm>
              <a:off x="8486775" y="25241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94" name="193 Cubo"/>
            <xdr:cNvSpPr/>
          </xdr:nvSpPr>
          <xdr:spPr>
            <a:xfrm>
              <a:off x="8162925" y="28479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95" name="194 Cubo"/>
            <xdr:cNvSpPr/>
          </xdr:nvSpPr>
          <xdr:spPr>
            <a:xfrm>
              <a:off x="7829550" y="31813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96" name="195 Cubo"/>
            <xdr:cNvSpPr/>
          </xdr:nvSpPr>
          <xdr:spPr>
            <a:xfrm>
              <a:off x="7505700" y="35052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97" name="196 Cubo"/>
            <xdr:cNvSpPr/>
          </xdr:nvSpPr>
          <xdr:spPr>
            <a:xfrm>
              <a:off x="7172325" y="38481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98" name="197 Cubo"/>
            <xdr:cNvSpPr/>
          </xdr:nvSpPr>
          <xdr:spPr>
            <a:xfrm>
              <a:off x="6848475" y="41719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199" name="198 Cubo"/>
            <xdr:cNvSpPr/>
          </xdr:nvSpPr>
          <xdr:spPr>
            <a:xfrm>
              <a:off x="6515100" y="45053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200" name="199 Cubo"/>
            <xdr:cNvSpPr/>
          </xdr:nvSpPr>
          <xdr:spPr>
            <a:xfrm>
              <a:off x="6191250" y="48291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201" name="200 Cubo"/>
            <xdr:cNvSpPr/>
          </xdr:nvSpPr>
          <xdr:spPr>
            <a:xfrm>
              <a:off x="5857875" y="51720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202" name="201 Cubo"/>
            <xdr:cNvSpPr/>
          </xdr:nvSpPr>
          <xdr:spPr>
            <a:xfrm>
              <a:off x="5534025" y="54959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203" name="202 Cubo"/>
            <xdr:cNvSpPr/>
          </xdr:nvSpPr>
          <xdr:spPr>
            <a:xfrm>
              <a:off x="5200650" y="583882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204" name="203 Cubo"/>
            <xdr:cNvSpPr/>
          </xdr:nvSpPr>
          <xdr:spPr>
            <a:xfrm>
              <a:off x="4876800" y="6162675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205" name="204 Cubo"/>
            <xdr:cNvSpPr/>
          </xdr:nvSpPr>
          <xdr:spPr>
            <a:xfrm>
              <a:off x="4543425" y="649605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sp macro="" textlink="">
          <xdr:nvSpPr>
            <xdr:cNvPr id="206" name="205 Cubo"/>
            <xdr:cNvSpPr/>
          </xdr:nvSpPr>
          <xdr:spPr>
            <a:xfrm>
              <a:off x="4219575" y="6819900"/>
              <a:ext cx="647700" cy="619125"/>
            </a:xfrm>
            <a:prstGeom prst="cube">
              <a:avLst>
                <a:gd name="adj" fmla="val 46538"/>
              </a:avLst>
            </a:prstGeom>
            <a:solidFill>
              <a:srgbClr val="FFFF0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AR" sz="1100"/>
            </a:p>
          </xdr:txBody>
        </xdr:sp>
        <xdr:grpSp>
          <xdr:nvGrpSpPr>
            <xdr:cNvPr id="207" name="237 Grupo"/>
            <xdr:cNvGrpSpPr/>
          </xdr:nvGrpSpPr>
          <xdr:grpSpPr>
            <a:xfrm>
              <a:off x="4210050" y="1352550"/>
              <a:ext cx="4933950" cy="5495925"/>
              <a:chOff x="4210050" y="1352550"/>
              <a:chExt cx="4933950" cy="5495925"/>
            </a:xfrm>
          </xdr:grpSpPr>
          <xdr:sp macro="" textlink="">
            <xdr:nvSpPr>
              <xdr:cNvPr id="208" name="207 Cubo"/>
              <xdr:cNvSpPr/>
            </xdr:nvSpPr>
            <xdr:spPr>
              <a:xfrm>
                <a:off x="8496300" y="19335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09" name="208 Cubo"/>
              <xdr:cNvSpPr/>
            </xdr:nvSpPr>
            <xdr:spPr>
              <a:xfrm>
                <a:off x="8477250" y="13525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0" name="209 Cubo"/>
              <xdr:cNvSpPr/>
            </xdr:nvSpPr>
            <xdr:spPr>
              <a:xfrm>
                <a:off x="8172450" y="22574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1" name="210 Cubo"/>
              <xdr:cNvSpPr/>
            </xdr:nvSpPr>
            <xdr:spPr>
              <a:xfrm>
                <a:off x="8153400" y="16859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2" name="211 Cubo"/>
              <xdr:cNvSpPr/>
            </xdr:nvSpPr>
            <xdr:spPr>
              <a:xfrm>
                <a:off x="7839075" y="25908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3" name="212 Cubo"/>
              <xdr:cNvSpPr/>
            </xdr:nvSpPr>
            <xdr:spPr>
              <a:xfrm>
                <a:off x="7820025" y="20097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4" name="213 Cubo"/>
              <xdr:cNvSpPr/>
            </xdr:nvSpPr>
            <xdr:spPr>
              <a:xfrm>
                <a:off x="7515225" y="29146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5" name="214 Cubo"/>
              <xdr:cNvSpPr/>
            </xdr:nvSpPr>
            <xdr:spPr>
              <a:xfrm>
                <a:off x="7496175" y="23431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6" name="215 Cubo"/>
              <xdr:cNvSpPr/>
            </xdr:nvSpPr>
            <xdr:spPr>
              <a:xfrm>
                <a:off x="7181850" y="32575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7" name="216 Cubo"/>
              <xdr:cNvSpPr/>
            </xdr:nvSpPr>
            <xdr:spPr>
              <a:xfrm>
                <a:off x="7162800" y="26765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8" name="217 Cubo"/>
              <xdr:cNvSpPr/>
            </xdr:nvSpPr>
            <xdr:spPr>
              <a:xfrm>
                <a:off x="6858000" y="35814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19" name="218 Cubo"/>
              <xdr:cNvSpPr/>
            </xdr:nvSpPr>
            <xdr:spPr>
              <a:xfrm>
                <a:off x="6838950" y="30099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0" name="219 Cubo"/>
              <xdr:cNvSpPr/>
            </xdr:nvSpPr>
            <xdr:spPr>
              <a:xfrm>
                <a:off x="6524625" y="39147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1" name="220 Cubo"/>
              <xdr:cNvSpPr/>
            </xdr:nvSpPr>
            <xdr:spPr>
              <a:xfrm>
                <a:off x="6505575" y="33337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2" name="221 Cubo"/>
              <xdr:cNvSpPr/>
            </xdr:nvSpPr>
            <xdr:spPr>
              <a:xfrm>
                <a:off x="6200775" y="42386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3" name="222 Cubo"/>
              <xdr:cNvSpPr/>
            </xdr:nvSpPr>
            <xdr:spPr>
              <a:xfrm>
                <a:off x="6181725" y="36671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4" name="223 Cubo"/>
              <xdr:cNvSpPr/>
            </xdr:nvSpPr>
            <xdr:spPr>
              <a:xfrm>
                <a:off x="5867400" y="45815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5" name="224 Cubo"/>
              <xdr:cNvSpPr/>
            </xdr:nvSpPr>
            <xdr:spPr>
              <a:xfrm>
                <a:off x="5848350" y="40005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6" name="225 Cubo"/>
              <xdr:cNvSpPr/>
            </xdr:nvSpPr>
            <xdr:spPr>
              <a:xfrm>
                <a:off x="5543550" y="49053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7" name="226 Cubo"/>
              <xdr:cNvSpPr/>
            </xdr:nvSpPr>
            <xdr:spPr>
              <a:xfrm>
                <a:off x="5524500" y="43338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8" name="227 Cubo"/>
              <xdr:cNvSpPr/>
            </xdr:nvSpPr>
            <xdr:spPr>
              <a:xfrm>
                <a:off x="5210175" y="52482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29" name="228 Cubo"/>
              <xdr:cNvSpPr/>
            </xdr:nvSpPr>
            <xdr:spPr>
              <a:xfrm>
                <a:off x="5191125" y="46672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30" name="229 Cubo"/>
              <xdr:cNvSpPr/>
            </xdr:nvSpPr>
            <xdr:spPr>
              <a:xfrm>
                <a:off x="4886325" y="55721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31" name="230 Cubo"/>
              <xdr:cNvSpPr/>
            </xdr:nvSpPr>
            <xdr:spPr>
              <a:xfrm>
                <a:off x="4867275" y="500062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32" name="231 Cubo"/>
              <xdr:cNvSpPr/>
            </xdr:nvSpPr>
            <xdr:spPr>
              <a:xfrm>
                <a:off x="4552950" y="590550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33" name="232 Cubo"/>
              <xdr:cNvSpPr/>
            </xdr:nvSpPr>
            <xdr:spPr>
              <a:xfrm>
                <a:off x="4533900" y="5324475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34" name="233 Cubo"/>
              <xdr:cNvSpPr/>
            </xdr:nvSpPr>
            <xdr:spPr>
              <a:xfrm>
                <a:off x="4229100" y="62293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accent3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  <xdr:sp macro="" textlink="">
            <xdr:nvSpPr>
              <xdr:cNvPr id="235" name="234 Cubo"/>
              <xdr:cNvSpPr/>
            </xdr:nvSpPr>
            <xdr:spPr>
              <a:xfrm>
                <a:off x="4210050" y="5657850"/>
                <a:ext cx="647700" cy="619125"/>
              </a:xfrm>
              <a:prstGeom prst="cube">
                <a:avLst>
                  <a:gd name="adj" fmla="val 46538"/>
                </a:avLst>
              </a:prstGeom>
              <a:solidFill>
                <a:schemeClr val="tx2">
                  <a:lumMod val="60000"/>
                  <a:lumOff val="4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es-AR" sz="1100"/>
              </a:p>
            </xdr:txBody>
          </xdr:sp>
        </xdr:grpSp>
      </xdr:grpSp>
      <xdr:grpSp>
        <xdr:nvGrpSpPr>
          <xdr:cNvPr id="182" name="352 Grupo"/>
          <xdr:cNvGrpSpPr/>
        </xdr:nvGrpSpPr>
        <xdr:grpSpPr>
          <a:xfrm>
            <a:off x="3067050" y="1228725"/>
            <a:ext cx="4581525" cy="6219825"/>
            <a:chOff x="4562475" y="1238250"/>
            <a:chExt cx="4581525" cy="6219825"/>
          </a:xfrm>
        </xdr:grpSpPr>
        <xdr:cxnSp macro="">
          <xdr:nvCxnSpPr>
            <xdr:cNvPr id="185" name="184 Conector recto"/>
            <xdr:cNvCxnSpPr/>
          </xdr:nvCxnSpPr>
          <xdr:spPr>
            <a:xfrm flipH="1" flipV="1">
              <a:off x="5191125" y="51720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6" name="185 Conector recto"/>
            <xdr:cNvCxnSpPr/>
          </xdr:nvCxnSpPr>
          <xdr:spPr>
            <a:xfrm flipH="1" flipV="1">
              <a:off x="5857875" y="45053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7" name="186 Conector recto"/>
            <xdr:cNvCxnSpPr/>
          </xdr:nvCxnSpPr>
          <xdr:spPr>
            <a:xfrm flipH="1" flipV="1">
              <a:off x="6505575" y="381952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8" name="187 Conector recto"/>
            <xdr:cNvCxnSpPr/>
          </xdr:nvCxnSpPr>
          <xdr:spPr>
            <a:xfrm flipH="1" flipV="1">
              <a:off x="7162800" y="31623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89" name="188 Conector recto"/>
            <xdr:cNvCxnSpPr/>
          </xdr:nvCxnSpPr>
          <xdr:spPr>
            <a:xfrm flipH="1" flipV="1">
              <a:off x="7820025" y="25336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0" name="189 Conector recto"/>
            <xdr:cNvCxnSpPr/>
          </xdr:nvCxnSpPr>
          <xdr:spPr>
            <a:xfrm flipH="1" flipV="1">
              <a:off x="8486775" y="186690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1" name="190 Conector recto"/>
            <xdr:cNvCxnSpPr/>
          </xdr:nvCxnSpPr>
          <xdr:spPr>
            <a:xfrm flipH="1" flipV="1">
              <a:off x="9115425" y="1238250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2" name="191 Conector recto"/>
            <xdr:cNvCxnSpPr/>
          </xdr:nvCxnSpPr>
          <xdr:spPr>
            <a:xfrm flipH="1" flipV="1">
              <a:off x="4562475" y="5819775"/>
              <a:ext cx="28575" cy="1638300"/>
            </a:xfrm>
            <a:prstGeom prst="line">
              <a:avLst/>
            </a:prstGeom>
            <a:ln w="3810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3" name="182 Conector recto"/>
          <xdr:cNvCxnSpPr/>
        </xdr:nvCxnSpPr>
        <xdr:spPr>
          <a:xfrm flipV="1">
            <a:off x="3076575" y="2276475"/>
            <a:ext cx="4572000" cy="4572000"/>
          </a:xfrm>
          <a:prstGeom prst="line">
            <a:avLst/>
          </a:prstGeom>
          <a:ln w="381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183 Conector recto"/>
          <xdr:cNvCxnSpPr/>
        </xdr:nvCxnSpPr>
        <xdr:spPr>
          <a:xfrm flipV="1">
            <a:off x="3067050" y="1704975"/>
            <a:ext cx="4572000" cy="4572000"/>
          </a:xfrm>
          <a:prstGeom prst="line">
            <a:avLst/>
          </a:prstGeom>
          <a:ln w="381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388493</xdr:colOff>
      <xdr:row>23</xdr:row>
      <xdr:rowOff>123825</xdr:rowOff>
    </xdr:from>
    <xdr:to>
      <xdr:col>6</xdr:col>
      <xdr:colOff>647463</xdr:colOff>
      <xdr:row>37</xdr:row>
      <xdr:rowOff>108954</xdr:rowOff>
    </xdr:to>
    <xdr:grpSp>
      <xdr:nvGrpSpPr>
        <xdr:cNvPr id="248" name="247 Grupo"/>
        <xdr:cNvGrpSpPr/>
      </xdr:nvGrpSpPr>
      <xdr:grpSpPr>
        <a:xfrm>
          <a:off x="3436493" y="4505325"/>
          <a:ext cx="1782970" cy="2652129"/>
          <a:chOff x="3798443" y="2971800"/>
          <a:chExt cx="1782970" cy="2652129"/>
        </a:xfrm>
      </xdr:grpSpPr>
      <xdr:sp macro="" textlink="">
        <xdr:nvSpPr>
          <xdr:cNvPr id="245" name="244 Flecha cuádruple"/>
          <xdr:cNvSpPr/>
        </xdr:nvSpPr>
        <xdr:spPr>
          <a:xfrm>
            <a:off x="4200525" y="3752850"/>
            <a:ext cx="819150" cy="1123950"/>
          </a:xfrm>
          <a:prstGeom prst="quad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AR" sz="1100"/>
          </a:p>
        </xdr:txBody>
      </xdr:sp>
      <xdr:sp macro="" textlink="">
        <xdr:nvSpPr>
          <xdr:cNvPr id="246" name="245 Rectángulo"/>
          <xdr:cNvSpPr/>
        </xdr:nvSpPr>
        <xdr:spPr>
          <a:xfrm>
            <a:off x="4934185" y="3848639"/>
            <a:ext cx="647228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r>
              <a:rPr lang="es-ES" sz="5400" b="1" cap="none" spc="50">
                <a:ln w="11430"/>
                <a:gradFill>
                  <a:gsLst>
                    <a:gs pos="25000">
                      <a:schemeClr val="accent2">
                        <a:satMod val="155000"/>
                      </a:schemeClr>
                    </a:gs>
                    <a:gs pos="100000">
                      <a:schemeClr val="accent2">
                        <a:shade val="45000"/>
                        <a:satMod val="165000"/>
                      </a:schemeClr>
                    </a:gs>
                  </a:gsLst>
                  <a:lin ang="5400000"/>
                </a:gra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N</a:t>
            </a:r>
          </a:p>
        </xdr:txBody>
      </xdr:sp>
      <xdr:sp macro="" textlink="">
        <xdr:nvSpPr>
          <xdr:cNvPr id="247" name="246 Rectángulo"/>
          <xdr:cNvSpPr/>
        </xdr:nvSpPr>
        <xdr:spPr>
          <a:xfrm>
            <a:off x="3798443" y="3858164"/>
            <a:ext cx="518412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r>
              <a:rPr lang="es-ES" sz="5400" b="1" cap="none" spc="50">
                <a:ln w="11430"/>
                <a:gradFill>
                  <a:gsLst>
                    <a:gs pos="25000">
                      <a:schemeClr val="accent2">
                        <a:satMod val="155000"/>
                      </a:schemeClr>
                    </a:gs>
                    <a:gs pos="100000">
                      <a:schemeClr val="accent2">
                        <a:shade val="45000"/>
                        <a:satMod val="165000"/>
                      </a:schemeClr>
                    </a:gs>
                  </a:gsLst>
                  <a:lin ang="5400000"/>
                </a:gra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S</a:t>
            </a:r>
          </a:p>
        </xdr:txBody>
      </xdr:sp>
      <xdr:sp macro="" textlink="">
        <xdr:nvSpPr>
          <xdr:cNvPr id="249" name="248 Rectángulo"/>
          <xdr:cNvSpPr/>
        </xdr:nvSpPr>
        <xdr:spPr>
          <a:xfrm>
            <a:off x="4364482" y="4686300"/>
            <a:ext cx="528864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r>
              <a:rPr lang="es-ES" sz="5400" b="1" cap="none" spc="50">
                <a:ln w="11430"/>
                <a:gradFill>
                  <a:gsLst>
                    <a:gs pos="25000">
                      <a:schemeClr val="accent2">
                        <a:satMod val="155000"/>
                      </a:schemeClr>
                    </a:gs>
                    <a:gs pos="100000">
                      <a:schemeClr val="accent2">
                        <a:shade val="45000"/>
                        <a:satMod val="165000"/>
                      </a:schemeClr>
                    </a:gs>
                  </a:gsLst>
                  <a:lin ang="5400000"/>
                </a:gra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E</a:t>
            </a:r>
          </a:p>
        </xdr:txBody>
      </xdr:sp>
      <xdr:sp macro="" textlink="">
        <xdr:nvSpPr>
          <xdr:cNvPr id="250" name="249 Rectángulo"/>
          <xdr:cNvSpPr/>
        </xdr:nvSpPr>
        <xdr:spPr>
          <a:xfrm>
            <a:off x="4299208" y="2971800"/>
            <a:ext cx="659412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r>
              <a:rPr lang="es-ES" sz="5400" b="1" cap="none" spc="50">
                <a:ln w="11430"/>
                <a:gradFill>
                  <a:gsLst>
                    <a:gs pos="25000">
                      <a:schemeClr val="accent2">
                        <a:satMod val="155000"/>
                      </a:schemeClr>
                    </a:gs>
                    <a:gs pos="100000">
                      <a:schemeClr val="accent2">
                        <a:shade val="45000"/>
                        <a:satMod val="165000"/>
                      </a:schemeClr>
                    </a:gs>
                  </a:gsLst>
                  <a:lin ang="5400000"/>
                </a:gra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t>O</a:t>
            </a:r>
          </a:p>
        </xdr:txBody>
      </xdr:sp>
    </xdr:grpSp>
    <xdr:clientData/>
  </xdr:twoCellAnchor>
  <xdr:twoCellAnchor>
    <xdr:from>
      <xdr:col>8</xdr:col>
      <xdr:colOff>157163</xdr:colOff>
      <xdr:row>39</xdr:row>
      <xdr:rowOff>119062</xdr:rowOff>
    </xdr:from>
    <xdr:to>
      <xdr:col>8</xdr:col>
      <xdr:colOff>461963</xdr:colOff>
      <xdr:row>41</xdr:row>
      <xdr:rowOff>57149</xdr:rowOff>
    </xdr:to>
    <xdr:sp macro="" textlink="">
      <xdr:nvSpPr>
        <xdr:cNvPr id="251" name="250 CuadroTexto"/>
        <xdr:cNvSpPr txBox="1"/>
      </xdr:nvSpPr>
      <xdr:spPr>
        <a:xfrm>
          <a:off x="6253163" y="7548562"/>
          <a:ext cx="304800" cy="31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M</a:t>
          </a:r>
          <a:endParaRPr lang="es-AR" sz="1100" b="1"/>
        </a:p>
      </xdr:txBody>
    </xdr:sp>
    <xdr:clientData/>
  </xdr:twoCellAnchor>
  <xdr:twoCellAnchor>
    <xdr:from>
      <xdr:col>9</xdr:col>
      <xdr:colOff>547688</xdr:colOff>
      <xdr:row>39</xdr:row>
      <xdr:rowOff>109537</xdr:rowOff>
    </xdr:from>
    <xdr:to>
      <xdr:col>10</xdr:col>
      <xdr:colOff>90488</xdr:colOff>
      <xdr:row>41</xdr:row>
      <xdr:rowOff>47624</xdr:rowOff>
    </xdr:to>
    <xdr:sp macro="" textlink="">
      <xdr:nvSpPr>
        <xdr:cNvPr id="253" name="252 CuadroTexto"/>
        <xdr:cNvSpPr txBox="1"/>
      </xdr:nvSpPr>
      <xdr:spPr>
        <a:xfrm>
          <a:off x="7405688" y="7539037"/>
          <a:ext cx="304800" cy="31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D</a:t>
          </a:r>
          <a:endParaRPr lang="es-AR" sz="1100" b="1"/>
        </a:p>
      </xdr:txBody>
    </xdr:sp>
    <xdr:clientData/>
  </xdr:twoCellAnchor>
  <xdr:twoCellAnchor>
    <xdr:from>
      <xdr:col>7</xdr:col>
      <xdr:colOff>104775</xdr:colOff>
      <xdr:row>32</xdr:row>
      <xdr:rowOff>57150</xdr:rowOff>
    </xdr:from>
    <xdr:to>
      <xdr:col>7</xdr:col>
      <xdr:colOff>409575</xdr:colOff>
      <xdr:row>33</xdr:row>
      <xdr:rowOff>185737</xdr:rowOff>
    </xdr:to>
    <xdr:sp macro="" textlink="">
      <xdr:nvSpPr>
        <xdr:cNvPr id="254" name="253 CuadroTexto"/>
        <xdr:cNvSpPr txBox="1"/>
      </xdr:nvSpPr>
      <xdr:spPr>
        <a:xfrm>
          <a:off x="5438775" y="6153150"/>
          <a:ext cx="304800" cy="31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C</a:t>
          </a:r>
          <a:endParaRPr lang="es-AR" sz="1100" b="1"/>
        </a:p>
      </xdr:txBody>
    </xdr:sp>
    <xdr:clientData/>
  </xdr:twoCellAnchor>
  <xdr:twoCellAnchor>
    <xdr:from>
      <xdr:col>6</xdr:col>
      <xdr:colOff>557213</xdr:colOff>
      <xdr:row>36</xdr:row>
      <xdr:rowOff>23812</xdr:rowOff>
    </xdr:from>
    <xdr:to>
      <xdr:col>7</xdr:col>
      <xdr:colOff>100013</xdr:colOff>
      <xdr:row>37</xdr:row>
      <xdr:rowOff>152399</xdr:rowOff>
    </xdr:to>
    <xdr:sp macro="" textlink="">
      <xdr:nvSpPr>
        <xdr:cNvPr id="255" name="254 CuadroTexto"/>
        <xdr:cNvSpPr txBox="1"/>
      </xdr:nvSpPr>
      <xdr:spPr>
        <a:xfrm>
          <a:off x="5129213" y="6881812"/>
          <a:ext cx="304800" cy="31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I</a:t>
          </a:r>
          <a:endParaRPr lang="es-AR" sz="1100" b="1"/>
        </a:p>
      </xdr:txBody>
    </xdr:sp>
    <xdr:clientData/>
  </xdr:twoCellAnchor>
  <xdr:twoCellAnchor>
    <xdr:from>
      <xdr:col>6</xdr:col>
      <xdr:colOff>538163</xdr:colOff>
      <xdr:row>33</xdr:row>
      <xdr:rowOff>23812</xdr:rowOff>
    </xdr:from>
    <xdr:to>
      <xdr:col>7</xdr:col>
      <xdr:colOff>80963</xdr:colOff>
      <xdr:row>34</xdr:row>
      <xdr:rowOff>152399</xdr:rowOff>
    </xdr:to>
    <xdr:sp macro="" textlink="">
      <xdr:nvSpPr>
        <xdr:cNvPr id="256" name="255 CuadroTexto"/>
        <xdr:cNvSpPr txBox="1"/>
      </xdr:nvSpPr>
      <xdr:spPr>
        <a:xfrm>
          <a:off x="5110163" y="6310312"/>
          <a:ext cx="304800" cy="31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I</a:t>
          </a:r>
          <a:endParaRPr lang="es-AR" sz="1100" b="1"/>
        </a:p>
      </xdr:txBody>
    </xdr:sp>
    <xdr:clientData/>
  </xdr:twoCellAnchor>
  <xdr:twoCellAnchor>
    <xdr:from>
      <xdr:col>8</xdr:col>
      <xdr:colOff>481012</xdr:colOff>
      <xdr:row>35</xdr:row>
      <xdr:rowOff>166687</xdr:rowOff>
    </xdr:from>
    <xdr:to>
      <xdr:col>9</xdr:col>
      <xdr:colOff>23812</xdr:colOff>
      <xdr:row>37</xdr:row>
      <xdr:rowOff>123824</xdr:rowOff>
    </xdr:to>
    <xdr:sp macro="" textlink="">
      <xdr:nvSpPr>
        <xdr:cNvPr id="257" name="256 CuadroTexto"/>
        <xdr:cNvSpPr txBox="1"/>
      </xdr:nvSpPr>
      <xdr:spPr>
        <a:xfrm>
          <a:off x="6577012" y="6834187"/>
          <a:ext cx="304800" cy="3381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B</a:t>
          </a:r>
          <a:endParaRPr lang="es-AR" sz="1100" b="1"/>
        </a:p>
      </xdr:txBody>
    </xdr:sp>
    <xdr:clientData/>
  </xdr:twoCellAnchor>
  <xdr:twoCellAnchor>
    <xdr:from>
      <xdr:col>8</xdr:col>
      <xdr:colOff>500062</xdr:colOff>
      <xdr:row>38</xdr:row>
      <xdr:rowOff>180975</xdr:rowOff>
    </xdr:from>
    <xdr:to>
      <xdr:col>9</xdr:col>
      <xdr:colOff>42862</xdr:colOff>
      <xdr:row>40</xdr:row>
      <xdr:rowOff>71437</xdr:rowOff>
    </xdr:to>
    <xdr:sp macro="" textlink="">
      <xdr:nvSpPr>
        <xdr:cNvPr id="258" name="257 CuadroTexto"/>
        <xdr:cNvSpPr txBox="1"/>
      </xdr:nvSpPr>
      <xdr:spPr>
        <a:xfrm>
          <a:off x="6596062" y="7419975"/>
          <a:ext cx="304800" cy="271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A</a:t>
          </a:r>
          <a:endParaRPr lang="es-AR" sz="1100" b="1"/>
        </a:p>
      </xdr:txBody>
    </xdr:sp>
    <xdr:clientData/>
  </xdr:twoCellAnchor>
  <xdr:twoCellAnchor>
    <xdr:from>
      <xdr:col>8</xdr:col>
      <xdr:colOff>466725</xdr:colOff>
      <xdr:row>32</xdr:row>
      <xdr:rowOff>114300</xdr:rowOff>
    </xdr:from>
    <xdr:to>
      <xdr:col>9</xdr:col>
      <xdr:colOff>9525</xdr:colOff>
      <xdr:row>34</xdr:row>
      <xdr:rowOff>52387</xdr:rowOff>
    </xdr:to>
    <xdr:sp macro="" textlink="">
      <xdr:nvSpPr>
        <xdr:cNvPr id="259" name="258 CuadroTexto"/>
        <xdr:cNvSpPr txBox="1"/>
      </xdr:nvSpPr>
      <xdr:spPr>
        <a:xfrm>
          <a:off x="6562725" y="6210300"/>
          <a:ext cx="304800" cy="31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C</a:t>
          </a:r>
          <a:endParaRPr lang="es-AR" sz="1100" b="1"/>
        </a:p>
      </xdr:txBody>
    </xdr:sp>
    <xdr:clientData/>
  </xdr:twoCellAnchor>
  <xdr:twoCellAnchor>
    <xdr:from>
      <xdr:col>10</xdr:col>
      <xdr:colOff>80962</xdr:colOff>
      <xdr:row>35</xdr:row>
      <xdr:rowOff>185737</xdr:rowOff>
    </xdr:from>
    <xdr:to>
      <xdr:col>10</xdr:col>
      <xdr:colOff>385762</xdr:colOff>
      <xdr:row>37</xdr:row>
      <xdr:rowOff>142874</xdr:rowOff>
    </xdr:to>
    <xdr:sp macro="" textlink="">
      <xdr:nvSpPr>
        <xdr:cNvPr id="260" name="259 CuadroTexto"/>
        <xdr:cNvSpPr txBox="1"/>
      </xdr:nvSpPr>
      <xdr:spPr>
        <a:xfrm>
          <a:off x="7700962" y="6853237"/>
          <a:ext cx="304800" cy="3381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B</a:t>
          </a:r>
          <a:endParaRPr lang="es-AR" sz="1100" b="1"/>
        </a:p>
      </xdr:txBody>
    </xdr:sp>
    <xdr:clientData/>
  </xdr:twoCellAnchor>
  <xdr:twoCellAnchor>
    <xdr:from>
      <xdr:col>10</xdr:col>
      <xdr:colOff>100012</xdr:colOff>
      <xdr:row>39</xdr:row>
      <xdr:rowOff>9525</xdr:rowOff>
    </xdr:from>
    <xdr:to>
      <xdr:col>10</xdr:col>
      <xdr:colOff>404812</xdr:colOff>
      <xdr:row>40</xdr:row>
      <xdr:rowOff>90487</xdr:rowOff>
    </xdr:to>
    <xdr:sp macro="" textlink="">
      <xdr:nvSpPr>
        <xdr:cNvPr id="261" name="260 CuadroTexto"/>
        <xdr:cNvSpPr txBox="1"/>
      </xdr:nvSpPr>
      <xdr:spPr>
        <a:xfrm>
          <a:off x="7720012" y="7439025"/>
          <a:ext cx="304800" cy="271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A</a:t>
          </a:r>
          <a:endParaRPr lang="es-AR" sz="1100" b="1"/>
        </a:p>
      </xdr:txBody>
    </xdr:sp>
    <xdr:clientData/>
  </xdr:twoCellAnchor>
  <xdr:twoCellAnchor>
    <xdr:from>
      <xdr:col>10</xdr:col>
      <xdr:colOff>66675</xdr:colOff>
      <xdr:row>32</xdr:row>
      <xdr:rowOff>133350</xdr:rowOff>
    </xdr:from>
    <xdr:to>
      <xdr:col>10</xdr:col>
      <xdr:colOff>371475</xdr:colOff>
      <xdr:row>34</xdr:row>
      <xdr:rowOff>71437</xdr:rowOff>
    </xdr:to>
    <xdr:sp macro="" textlink="">
      <xdr:nvSpPr>
        <xdr:cNvPr id="262" name="261 CuadroTexto"/>
        <xdr:cNvSpPr txBox="1"/>
      </xdr:nvSpPr>
      <xdr:spPr>
        <a:xfrm>
          <a:off x="7686675" y="6229350"/>
          <a:ext cx="304800" cy="3190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AR" sz="2000" b="1"/>
            <a:t>C</a:t>
          </a:r>
          <a:endParaRPr lang="es-AR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742950</xdr:colOff>
      <xdr:row>20</xdr:row>
      <xdr:rowOff>19050</xdr:rowOff>
    </xdr:from>
    <xdr:to>
      <xdr:col>2</xdr:col>
      <xdr:colOff>285750</xdr:colOff>
      <xdr:row>21</xdr:row>
      <xdr:rowOff>171450</xdr:rowOff>
    </xdr:to>
    <xdr:sp macro="" textlink="">
      <xdr:nvSpPr>
        <xdr:cNvPr id="10" name="9 Cubo"/>
        <xdr:cNvSpPr/>
      </xdr:nvSpPr>
      <xdr:spPr>
        <a:xfrm>
          <a:off x="1504950" y="3829050"/>
          <a:ext cx="304800" cy="3429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3</xdr:col>
      <xdr:colOff>600075</xdr:colOff>
      <xdr:row>20</xdr:row>
      <xdr:rowOff>28575</xdr:rowOff>
    </xdr:from>
    <xdr:to>
      <xdr:col>4</xdr:col>
      <xdr:colOff>142875</xdr:colOff>
      <xdr:row>21</xdr:row>
      <xdr:rowOff>180975</xdr:rowOff>
    </xdr:to>
    <xdr:sp macro="" textlink="">
      <xdr:nvSpPr>
        <xdr:cNvPr id="8" name="7 Cubo"/>
        <xdr:cNvSpPr/>
      </xdr:nvSpPr>
      <xdr:spPr>
        <a:xfrm>
          <a:off x="2886075" y="3838575"/>
          <a:ext cx="304800" cy="3429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6</xdr:col>
      <xdr:colOff>533400</xdr:colOff>
      <xdr:row>16</xdr:row>
      <xdr:rowOff>95250</xdr:rowOff>
    </xdr:from>
    <xdr:to>
      <xdr:col>7</xdr:col>
      <xdr:colOff>28575</xdr:colOff>
      <xdr:row>17</xdr:row>
      <xdr:rowOff>133350</xdr:rowOff>
    </xdr:to>
    <xdr:sp macro="" textlink="">
      <xdr:nvSpPr>
        <xdr:cNvPr id="5" name="4 Cubo"/>
        <xdr:cNvSpPr/>
      </xdr:nvSpPr>
      <xdr:spPr>
        <a:xfrm>
          <a:off x="5105400" y="3143250"/>
          <a:ext cx="257175" cy="2286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5</xdr:col>
      <xdr:colOff>561975</xdr:colOff>
      <xdr:row>20</xdr:row>
      <xdr:rowOff>28575</xdr:rowOff>
    </xdr:from>
    <xdr:to>
      <xdr:col>6</xdr:col>
      <xdr:colOff>104775</xdr:colOff>
      <xdr:row>21</xdr:row>
      <xdr:rowOff>180975</xdr:rowOff>
    </xdr:to>
    <xdr:sp macro="" textlink="">
      <xdr:nvSpPr>
        <xdr:cNvPr id="9" name="8 Cubo"/>
        <xdr:cNvSpPr/>
      </xdr:nvSpPr>
      <xdr:spPr>
        <a:xfrm>
          <a:off x="4371975" y="3838575"/>
          <a:ext cx="304800" cy="3429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2</xdr:col>
      <xdr:colOff>0</xdr:colOff>
      <xdr:row>5</xdr:row>
      <xdr:rowOff>9525</xdr:rowOff>
    </xdr:from>
    <xdr:to>
      <xdr:col>7</xdr:col>
      <xdr:colOff>0</xdr:colOff>
      <xdr:row>20</xdr:row>
      <xdr:rowOff>0</xdr:rowOff>
    </xdr:to>
    <xdr:sp macro="" textlink="">
      <xdr:nvSpPr>
        <xdr:cNvPr id="2" name="1 Cubo"/>
        <xdr:cNvSpPr/>
      </xdr:nvSpPr>
      <xdr:spPr>
        <a:xfrm>
          <a:off x="1524000" y="962025"/>
          <a:ext cx="3810000" cy="2847975"/>
        </a:xfrm>
        <a:prstGeom prst="cube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</xdr:col>
      <xdr:colOff>752475</xdr:colOff>
      <xdr:row>20</xdr:row>
      <xdr:rowOff>9525</xdr:rowOff>
    </xdr:from>
    <xdr:to>
      <xdr:col>6</xdr:col>
      <xdr:colOff>57150</xdr:colOff>
      <xdr:row>20</xdr:row>
      <xdr:rowOff>95250</xdr:rowOff>
    </xdr:to>
    <xdr:sp macro="" textlink="">
      <xdr:nvSpPr>
        <xdr:cNvPr id="3" name="2 Rectángulo"/>
        <xdr:cNvSpPr/>
      </xdr:nvSpPr>
      <xdr:spPr>
        <a:xfrm>
          <a:off x="1514475" y="3819525"/>
          <a:ext cx="3114675" cy="85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6</xdr:col>
      <xdr:colOff>395059</xdr:colOff>
      <xdr:row>15</xdr:row>
      <xdr:rowOff>95850</xdr:rowOff>
    </xdr:from>
    <xdr:to>
      <xdr:col>6</xdr:col>
      <xdr:colOff>440778</xdr:colOff>
      <xdr:row>21</xdr:row>
      <xdr:rowOff>17831</xdr:rowOff>
    </xdr:to>
    <xdr:sp macro="" textlink="">
      <xdr:nvSpPr>
        <xdr:cNvPr id="4" name="3 Rectángulo"/>
        <xdr:cNvSpPr/>
      </xdr:nvSpPr>
      <xdr:spPr>
        <a:xfrm rot="18760829">
          <a:off x="4457428" y="3462981"/>
          <a:ext cx="1064981" cy="4571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2</xdr:col>
      <xdr:colOff>9525</xdr:colOff>
      <xdr:row>18</xdr:row>
      <xdr:rowOff>47625</xdr:rowOff>
    </xdr:from>
    <xdr:to>
      <xdr:col>6</xdr:col>
      <xdr:colOff>57150</xdr:colOff>
      <xdr:row>18</xdr:row>
      <xdr:rowOff>57150</xdr:rowOff>
    </xdr:to>
    <xdr:cxnSp macro="">
      <xdr:nvCxnSpPr>
        <xdr:cNvPr id="12" name="11 Conector recto"/>
        <xdr:cNvCxnSpPr/>
      </xdr:nvCxnSpPr>
      <xdr:spPr>
        <a:xfrm flipV="1">
          <a:off x="1533525" y="3476625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16</xdr:row>
      <xdr:rowOff>38100</xdr:rowOff>
    </xdr:from>
    <xdr:to>
      <xdr:col>6</xdr:col>
      <xdr:colOff>38100</xdr:colOff>
      <xdr:row>16</xdr:row>
      <xdr:rowOff>47625</xdr:rowOff>
    </xdr:to>
    <xdr:cxnSp macro="">
      <xdr:nvCxnSpPr>
        <xdr:cNvPr id="15" name="14 Conector recto"/>
        <xdr:cNvCxnSpPr/>
      </xdr:nvCxnSpPr>
      <xdr:spPr>
        <a:xfrm flipV="1">
          <a:off x="1514475" y="3086100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14</xdr:row>
      <xdr:rowOff>66675</xdr:rowOff>
    </xdr:from>
    <xdr:to>
      <xdr:col>6</xdr:col>
      <xdr:colOff>57150</xdr:colOff>
      <xdr:row>14</xdr:row>
      <xdr:rowOff>76200</xdr:rowOff>
    </xdr:to>
    <xdr:cxnSp macro="">
      <xdr:nvCxnSpPr>
        <xdr:cNvPr id="16" name="15 Conector recto"/>
        <xdr:cNvCxnSpPr/>
      </xdr:nvCxnSpPr>
      <xdr:spPr>
        <a:xfrm flipV="1">
          <a:off x="1533525" y="2733675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</xdr:row>
      <xdr:rowOff>104775</xdr:rowOff>
    </xdr:from>
    <xdr:to>
      <xdr:col>6</xdr:col>
      <xdr:colOff>47625</xdr:colOff>
      <xdr:row>12</xdr:row>
      <xdr:rowOff>114300</xdr:rowOff>
    </xdr:to>
    <xdr:cxnSp macro="">
      <xdr:nvCxnSpPr>
        <xdr:cNvPr id="17" name="16 Conector recto"/>
        <xdr:cNvCxnSpPr/>
      </xdr:nvCxnSpPr>
      <xdr:spPr>
        <a:xfrm flipV="1">
          <a:off x="1524000" y="2390775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10</xdr:row>
      <xdr:rowOff>104775</xdr:rowOff>
    </xdr:from>
    <xdr:to>
      <xdr:col>6</xdr:col>
      <xdr:colOff>38100</xdr:colOff>
      <xdr:row>10</xdr:row>
      <xdr:rowOff>114300</xdr:rowOff>
    </xdr:to>
    <xdr:cxnSp macro="">
      <xdr:nvCxnSpPr>
        <xdr:cNvPr id="18" name="17 Conector recto"/>
        <xdr:cNvCxnSpPr/>
      </xdr:nvCxnSpPr>
      <xdr:spPr>
        <a:xfrm flipV="1">
          <a:off x="1514475" y="2009775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14</xdr:row>
      <xdr:rowOff>85725</xdr:rowOff>
    </xdr:from>
    <xdr:to>
      <xdr:col>7</xdr:col>
      <xdr:colOff>9525</xdr:colOff>
      <xdr:row>18</xdr:row>
      <xdr:rowOff>47625</xdr:rowOff>
    </xdr:to>
    <xdr:cxnSp macro="">
      <xdr:nvCxnSpPr>
        <xdr:cNvPr id="20" name="19 Conector recto"/>
        <xdr:cNvCxnSpPr/>
      </xdr:nvCxnSpPr>
      <xdr:spPr>
        <a:xfrm flipV="1">
          <a:off x="4619625" y="2752725"/>
          <a:ext cx="723900" cy="723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12</xdr:row>
      <xdr:rowOff>85725</xdr:rowOff>
    </xdr:from>
    <xdr:to>
      <xdr:col>7</xdr:col>
      <xdr:colOff>9525</xdr:colOff>
      <xdr:row>16</xdr:row>
      <xdr:rowOff>47625</xdr:rowOff>
    </xdr:to>
    <xdr:cxnSp macro="">
      <xdr:nvCxnSpPr>
        <xdr:cNvPr id="21" name="20 Conector recto"/>
        <xdr:cNvCxnSpPr/>
      </xdr:nvCxnSpPr>
      <xdr:spPr>
        <a:xfrm flipV="1">
          <a:off x="4619625" y="2371725"/>
          <a:ext cx="723900" cy="723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66675</xdr:colOff>
      <xdr:row>10</xdr:row>
      <xdr:rowOff>125016</xdr:rowOff>
    </xdr:from>
    <xdr:to>
      <xdr:col>7</xdr:col>
      <xdr:colOff>0</xdr:colOff>
      <xdr:row>14</xdr:row>
      <xdr:rowOff>66675</xdr:rowOff>
    </xdr:to>
    <xdr:cxnSp macro="">
      <xdr:nvCxnSpPr>
        <xdr:cNvPr id="22" name="21 Conector recto"/>
        <xdr:cNvCxnSpPr>
          <a:endCxn id="2" idx="5"/>
        </xdr:cNvCxnSpPr>
      </xdr:nvCxnSpPr>
      <xdr:spPr>
        <a:xfrm flipV="1">
          <a:off x="4638675" y="2030016"/>
          <a:ext cx="695325" cy="70365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8</xdr:row>
      <xdr:rowOff>161925</xdr:rowOff>
    </xdr:from>
    <xdr:to>
      <xdr:col>6</xdr:col>
      <xdr:colOff>752475</xdr:colOff>
      <xdr:row>12</xdr:row>
      <xdr:rowOff>123825</xdr:rowOff>
    </xdr:to>
    <xdr:cxnSp macro="">
      <xdr:nvCxnSpPr>
        <xdr:cNvPr id="23" name="22 Conector recto"/>
        <xdr:cNvCxnSpPr/>
      </xdr:nvCxnSpPr>
      <xdr:spPr>
        <a:xfrm flipV="1">
          <a:off x="4600575" y="1685925"/>
          <a:ext cx="723900" cy="723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</xdr:colOff>
      <xdr:row>6</xdr:row>
      <xdr:rowOff>171450</xdr:rowOff>
    </xdr:from>
    <xdr:to>
      <xdr:col>7</xdr:col>
      <xdr:colOff>0</xdr:colOff>
      <xdr:row>10</xdr:row>
      <xdr:rowOff>133350</xdr:rowOff>
    </xdr:to>
    <xdr:cxnSp macro="">
      <xdr:nvCxnSpPr>
        <xdr:cNvPr id="24" name="23 Conector recto"/>
        <xdr:cNvCxnSpPr/>
      </xdr:nvCxnSpPr>
      <xdr:spPr>
        <a:xfrm flipV="1">
          <a:off x="4610100" y="1314450"/>
          <a:ext cx="723900" cy="723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25003</xdr:colOff>
      <xdr:row>8</xdr:row>
      <xdr:rowOff>150019</xdr:rowOff>
    </xdr:from>
    <xdr:to>
      <xdr:col>4</xdr:col>
      <xdr:colOff>28575</xdr:colOff>
      <xdr:row>10</xdr:row>
      <xdr:rowOff>123825</xdr:rowOff>
    </xdr:to>
    <xdr:cxnSp macro="">
      <xdr:nvCxnSpPr>
        <xdr:cNvPr id="26" name="25 Conector recto"/>
        <xdr:cNvCxnSpPr>
          <a:stCxn id="2" idx="1"/>
        </xdr:cNvCxnSpPr>
      </xdr:nvCxnSpPr>
      <xdr:spPr>
        <a:xfrm>
          <a:off x="3073003" y="1674019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25003</xdr:colOff>
      <xdr:row>12</xdr:row>
      <xdr:rowOff>121444</xdr:rowOff>
    </xdr:from>
    <xdr:to>
      <xdr:col>4</xdr:col>
      <xdr:colOff>28575</xdr:colOff>
      <xdr:row>14</xdr:row>
      <xdr:rowOff>95250</xdr:rowOff>
    </xdr:to>
    <xdr:cxnSp macro="">
      <xdr:nvCxnSpPr>
        <xdr:cNvPr id="27" name="26 Conector recto"/>
        <xdr:cNvCxnSpPr/>
      </xdr:nvCxnSpPr>
      <xdr:spPr>
        <a:xfrm>
          <a:off x="3073003" y="2407444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34528</xdr:colOff>
      <xdr:row>16</xdr:row>
      <xdr:rowOff>64294</xdr:rowOff>
    </xdr:from>
    <xdr:to>
      <xdr:col>4</xdr:col>
      <xdr:colOff>38100</xdr:colOff>
      <xdr:row>18</xdr:row>
      <xdr:rowOff>38100</xdr:rowOff>
    </xdr:to>
    <xdr:cxnSp macro="">
      <xdr:nvCxnSpPr>
        <xdr:cNvPr id="28" name="27 Conector recto"/>
        <xdr:cNvCxnSpPr/>
      </xdr:nvCxnSpPr>
      <xdr:spPr>
        <a:xfrm>
          <a:off x="3082528" y="3112294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234553</xdr:colOff>
      <xdr:row>18</xdr:row>
      <xdr:rowOff>35719</xdr:rowOff>
    </xdr:from>
    <xdr:to>
      <xdr:col>3</xdr:col>
      <xdr:colOff>238125</xdr:colOff>
      <xdr:row>20</xdr:row>
      <xdr:rowOff>9525</xdr:rowOff>
    </xdr:to>
    <xdr:cxnSp macro="">
      <xdr:nvCxnSpPr>
        <xdr:cNvPr id="29" name="28 Conector recto"/>
        <xdr:cNvCxnSpPr/>
      </xdr:nvCxnSpPr>
      <xdr:spPr>
        <a:xfrm>
          <a:off x="2520553" y="3464719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520303</xdr:colOff>
      <xdr:row>18</xdr:row>
      <xdr:rowOff>54769</xdr:rowOff>
    </xdr:from>
    <xdr:to>
      <xdr:col>4</xdr:col>
      <xdr:colOff>523875</xdr:colOff>
      <xdr:row>20</xdr:row>
      <xdr:rowOff>28575</xdr:rowOff>
    </xdr:to>
    <xdr:cxnSp macro="">
      <xdr:nvCxnSpPr>
        <xdr:cNvPr id="30" name="29 Conector recto"/>
        <xdr:cNvCxnSpPr/>
      </xdr:nvCxnSpPr>
      <xdr:spPr>
        <a:xfrm>
          <a:off x="3568303" y="3483769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520303</xdr:colOff>
      <xdr:row>14</xdr:row>
      <xdr:rowOff>64294</xdr:rowOff>
    </xdr:from>
    <xdr:to>
      <xdr:col>4</xdr:col>
      <xdr:colOff>523875</xdr:colOff>
      <xdr:row>16</xdr:row>
      <xdr:rowOff>38100</xdr:rowOff>
    </xdr:to>
    <xdr:cxnSp macro="">
      <xdr:nvCxnSpPr>
        <xdr:cNvPr id="31" name="30 Conector recto"/>
        <xdr:cNvCxnSpPr/>
      </xdr:nvCxnSpPr>
      <xdr:spPr>
        <a:xfrm>
          <a:off x="3568303" y="2731294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520303</xdr:colOff>
      <xdr:row>10</xdr:row>
      <xdr:rowOff>124621</xdr:rowOff>
    </xdr:from>
    <xdr:to>
      <xdr:col>4</xdr:col>
      <xdr:colOff>523875</xdr:colOff>
      <xdr:row>12</xdr:row>
      <xdr:rowOff>98427</xdr:rowOff>
    </xdr:to>
    <xdr:cxnSp macro="">
      <xdr:nvCxnSpPr>
        <xdr:cNvPr id="32" name="31 Conector recto"/>
        <xdr:cNvCxnSpPr/>
      </xdr:nvCxnSpPr>
      <xdr:spPr>
        <a:xfrm>
          <a:off x="3568303" y="2029621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244078</xdr:colOff>
      <xdr:row>14</xdr:row>
      <xdr:rowOff>64294</xdr:rowOff>
    </xdr:from>
    <xdr:to>
      <xdr:col>3</xdr:col>
      <xdr:colOff>247650</xdr:colOff>
      <xdr:row>16</xdr:row>
      <xdr:rowOff>38100</xdr:rowOff>
    </xdr:to>
    <xdr:cxnSp macro="">
      <xdr:nvCxnSpPr>
        <xdr:cNvPr id="33" name="32 Conector recto"/>
        <xdr:cNvCxnSpPr/>
      </xdr:nvCxnSpPr>
      <xdr:spPr>
        <a:xfrm>
          <a:off x="2530078" y="2731294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234553</xdr:colOff>
      <xdr:row>10</xdr:row>
      <xdr:rowOff>130969</xdr:rowOff>
    </xdr:from>
    <xdr:to>
      <xdr:col>3</xdr:col>
      <xdr:colOff>238125</xdr:colOff>
      <xdr:row>12</xdr:row>
      <xdr:rowOff>104775</xdr:rowOff>
    </xdr:to>
    <xdr:cxnSp macro="">
      <xdr:nvCxnSpPr>
        <xdr:cNvPr id="34" name="33 Conector recto"/>
        <xdr:cNvCxnSpPr/>
      </xdr:nvCxnSpPr>
      <xdr:spPr>
        <a:xfrm>
          <a:off x="2520553" y="2035969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7</xdr:row>
      <xdr:rowOff>38100</xdr:rowOff>
    </xdr:from>
    <xdr:to>
      <xdr:col>6</xdr:col>
      <xdr:colOff>342900</xdr:colOff>
      <xdr:row>7</xdr:row>
      <xdr:rowOff>47625</xdr:rowOff>
    </xdr:to>
    <xdr:cxnSp macro="">
      <xdr:nvCxnSpPr>
        <xdr:cNvPr id="36" name="35 Conector recto"/>
        <xdr:cNvCxnSpPr/>
      </xdr:nvCxnSpPr>
      <xdr:spPr>
        <a:xfrm flipV="1">
          <a:off x="1828800" y="1371600"/>
          <a:ext cx="30861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25003</xdr:colOff>
      <xdr:row>7</xdr:row>
      <xdr:rowOff>47625</xdr:rowOff>
    </xdr:from>
    <xdr:to>
      <xdr:col>4</xdr:col>
      <xdr:colOff>323850</xdr:colOff>
      <xdr:row>8</xdr:row>
      <xdr:rowOff>150019</xdr:rowOff>
    </xdr:to>
    <xdr:cxnSp macro="">
      <xdr:nvCxnSpPr>
        <xdr:cNvPr id="38" name="37 Conector recto"/>
        <xdr:cNvCxnSpPr>
          <a:stCxn id="2" idx="1"/>
        </xdr:cNvCxnSpPr>
      </xdr:nvCxnSpPr>
      <xdr:spPr>
        <a:xfrm flipV="1">
          <a:off x="3073003" y="1381125"/>
          <a:ext cx="298847" cy="29289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590550</xdr:colOff>
      <xdr:row>5</xdr:row>
      <xdr:rowOff>19050</xdr:rowOff>
    </xdr:from>
    <xdr:to>
      <xdr:col>4</xdr:col>
      <xdr:colOff>190500</xdr:colOff>
      <xdr:row>7</xdr:row>
      <xdr:rowOff>47625</xdr:rowOff>
    </xdr:to>
    <xdr:cxnSp macro="">
      <xdr:nvCxnSpPr>
        <xdr:cNvPr id="40" name="39 Conector recto"/>
        <xdr:cNvCxnSpPr/>
      </xdr:nvCxnSpPr>
      <xdr:spPr>
        <a:xfrm flipV="1">
          <a:off x="2876550" y="971550"/>
          <a:ext cx="361950" cy="4095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128058</xdr:colOff>
      <xdr:row>5</xdr:row>
      <xdr:rowOff>1059</xdr:rowOff>
    </xdr:from>
    <xdr:to>
      <xdr:col>5</xdr:col>
      <xdr:colOff>490008</xdr:colOff>
      <xdr:row>7</xdr:row>
      <xdr:rowOff>29634</xdr:rowOff>
    </xdr:to>
    <xdr:cxnSp macro="">
      <xdr:nvCxnSpPr>
        <xdr:cNvPr id="41" name="40 Conector recto"/>
        <xdr:cNvCxnSpPr/>
      </xdr:nvCxnSpPr>
      <xdr:spPr>
        <a:xfrm flipV="1">
          <a:off x="3938058" y="953559"/>
          <a:ext cx="361950" cy="4095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7</xdr:row>
      <xdr:rowOff>28575</xdr:rowOff>
    </xdr:from>
    <xdr:to>
      <xdr:col>6</xdr:col>
      <xdr:colOff>343958</xdr:colOff>
      <xdr:row>9</xdr:row>
      <xdr:rowOff>26458</xdr:rowOff>
    </xdr:to>
    <xdr:cxnSp macro="">
      <xdr:nvCxnSpPr>
        <xdr:cNvPr id="43" name="42 Conector recto"/>
        <xdr:cNvCxnSpPr/>
      </xdr:nvCxnSpPr>
      <xdr:spPr>
        <a:xfrm>
          <a:off x="4905375" y="1362075"/>
          <a:ext cx="10583" cy="3788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340784</xdr:colOff>
      <xdr:row>11</xdr:row>
      <xdr:rowOff>14817</xdr:rowOff>
    </xdr:from>
    <xdr:to>
      <xdr:col>6</xdr:col>
      <xdr:colOff>349250</xdr:colOff>
      <xdr:row>13</xdr:row>
      <xdr:rowOff>0</xdr:rowOff>
    </xdr:to>
    <xdr:cxnSp macro="">
      <xdr:nvCxnSpPr>
        <xdr:cNvPr id="44" name="43 Conector recto"/>
        <xdr:cNvCxnSpPr/>
      </xdr:nvCxnSpPr>
      <xdr:spPr>
        <a:xfrm>
          <a:off x="4912784" y="2110317"/>
          <a:ext cx="8466" cy="3661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343958</xdr:colOff>
      <xdr:row>14</xdr:row>
      <xdr:rowOff>153458</xdr:rowOff>
    </xdr:from>
    <xdr:to>
      <xdr:col>6</xdr:col>
      <xdr:colOff>352425</xdr:colOff>
      <xdr:row>16</xdr:row>
      <xdr:rowOff>114300</xdr:rowOff>
    </xdr:to>
    <xdr:cxnSp macro="">
      <xdr:nvCxnSpPr>
        <xdr:cNvPr id="45" name="44 Conector recto"/>
        <xdr:cNvCxnSpPr/>
      </xdr:nvCxnSpPr>
      <xdr:spPr>
        <a:xfrm>
          <a:off x="4915958" y="2820458"/>
          <a:ext cx="8467" cy="3418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533400</xdr:colOff>
      <xdr:row>8</xdr:row>
      <xdr:rowOff>11641</xdr:rowOff>
    </xdr:from>
    <xdr:to>
      <xdr:col>6</xdr:col>
      <xdr:colOff>543983</xdr:colOff>
      <xdr:row>10</xdr:row>
      <xdr:rowOff>9524</xdr:rowOff>
    </xdr:to>
    <xdr:cxnSp macro="">
      <xdr:nvCxnSpPr>
        <xdr:cNvPr id="49" name="48 Conector recto"/>
        <xdr:cNvCxnSpPr/>
      </xdr:nvCxnSpPr>
      <xdr:spPr>
        <a:xfrm>
          <a:off x="5105400" y="1535641"/>
          <a:ext cx="10583" cy="3788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529167</xdr:colOff>
      <xdr:row>11</xdr:row>
      <xdr:rowOff>185208</xdr:rowOff>
    </xdr:from>
    <xdr:to>
      <xdr:col>6</xdr:col>
      <xdr:colOff>532342</xdr:colOff>
      <xdr:row>13</xdr:row>
      <xdr:rowOff>135465</xdr:rowOff>
    </xdr:to>
    <xdr:cxnSp macro="">
      <xdr:nvCxnSpPr>
        <xdr:cNvPr id="50" name="49 Conector recto"/>
        <xdr:cNvCxnSpPr/>
      </xdr:nvCxnSpPr>
      <xdr:spPr>
        <a:xfrm>
          <a:off x="5101167" y="2280708"/>
          <a:ext cx="3175" cy="331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537634</xdr:colOff>
      <xdr:row>15</xdr:row>
      <xdr:rowOff>116416</xdr:rowOff>
    </xdr:from>
    <xdr:to>
      <xdr:col>6</xdr:col>
      <xdr:colOff>548217</xdr:colOff>
      <xdr:row>17</xdr:row>
      <xdr:rowOff>114299</xdr:rowOff>
    </xdr:to>
    <xdr:cxnSp macro="">
      <xdr:nvCxnSpPr>
        <xdr:cNvPr id="51" name="50 Conector recto"/>
        <xdr:cNvCxnSpPr/>
      </xdr:nvCxnSpPr>
      <xdr:spPr>
        <a:xfrm>
          <a:off x="5109634" y="2973916"/>
          <a:ext cx="10583" cy="3788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57150</xdr:colOff>
      <xdr:row>4</xdr:row>
      <xdr:rowOff>47625</xdr:rowOff>
    </xdr:from>
    <xdr:to>
      <xdr:col>1</xdr:col>
      <xdr:colOff>628650</xdr:colOff>
      <xdr:row>11</xdr:row>
      <xdr:rowOff>114300</xdr:rowOff>
    </xdr:to>
    <xdr:sp macro="" textlink="">
      <xdr:nvSpPr>
        <xdr:cNvPr id="54" name="53 Rectángulo"/>
        <xdr:cNvSpPr/>
      </xdr:nvSpPr>
      <xdr:spPr>
        <a:xfrm>
          <a:off x="57150" y="809625"/>
          <a:ext cx="1333500" cy="14001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b"/>
        <a:lstStyle/>
        <a:p>
          <a:pPr algn="ctr"/>
          <a:r>
            <a:rPr lang="es-AR" sz="7200" b="1"/>
            <a:t>54</a:t>
          </a:r>
          <a:endParaRPr lang="es-AR" sz="1100" b="1"/>
        </a:p>
      </xdr:txBody>
    </xdr:sp>
    <xdr:clientData/>
  </xdr:twoCellAnchor>
  <xdr:twoCellAnchor>
    <xdr:from>
      <xdr:col>0</xdr:col>
      <xdr:colOff>619125</xdr:colOff>
      <xdr:row>4</xdr:row>
      <xdr:rowOff>180975</xdr:rowOff>
    </xdr:from>
    <xdr:to>
      <xdr:col>0</xdr:col>
      <xdr:colOff>752475</xdr:colOff>
      <xdr:row>5</xdr:row>
      <xdr:rowOff>114300</xdr:rowOff>
    </xdr:to>
    <xdr:sp macro="" textlink="">
      <xdr:nvSpPr>
        <xdr:cNvPr id="55" name="54 Elipse"/>
        <xdr:cNvSpPr/>
      </xdr:nvSpPr>
      <xdr:spPr>
        <a:xfrm>
          <a:off x="619125" y="942975"/>
          <a:ext cx="133350" cy="123825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0</xdr:col>
      <xdr:colOff>685800</xdr:colOff>
      <xdr:row>5</xdr:row>
      <xdr:rowOff>114299</xdr:rowOff>
    </xdr:from>
    <xdr:to>
      <xdr:col>3</xdr:col>
      <xdr:colOff>600075</xdr:colOff>
      <xdr:row>21</xdr:row>
      <xdr:rowOff>47624</xdr:rowOff>
    </xdr:to>
    <xdr:cxnSp macro="">
      <xdr:nvCxnSpPr>
        <xdr:cNvPr id="57" name="56 Conector curvado"/>
        <xdr:cNvCxnSpPr>
          <a:stCxn id="55" idx="4"/>
          <a:endCxn id="8" idx="2"/>
        </xdr:cNvCxnSpPr>
      </xdr:nvCxnSpPr>
      <xdr:spPr>
        <a:xfrm rot="16200000" flipH="1">
          <a:off x="295275" y="1457324"/>
          <a:ext cx="2981325" cy="2200275"/>
        </a:xfrm>
        <a:prstGeom prst="curvedConnector2">
          <a:avLst/>
        </a:prstGeom>
        <a:ln w="28575">
          <a:solidFill>
            <a:schemeClr val="tx1"/>
          </a:solidFill>
          <a:prstDash val="sys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619125</xdr:colOff>
      <xdr:row>20</xdr:row>
      <xdr:rowOff>151534</xdr:rowOff>
    </xdr:from>
    <xdr:to>
      <xdr:col>4</xdr:col>
      <xdr:colOff>69272</xdr:colOff>
      <xdr:row>21</xdr:row>
      <xdr:rowOff>168852</xdr:rowOff>
    </xdr:to>
    <xdr:sp macro="" textlink="">
      <xdr:nvSpPr>
        <xdr:cNvPr id="59" name="58 Rectángulo"/>
        <xdr:cNvSpPr/>
      </xdr:nvSpPr>
      <xdr:spPr>
        <a:xfrm>
          <a:off x="2905125" y="3961534"/>
          <a:ext cx="212147" cy="20781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600"/>
        </a:p>
      </xdr:txBody>
    </xdr:sp>
    <xdr:clientData/>
  </xdr:twoCellAnchor>
  <xdr:twoCellAnchor>
    <xdr:from>
      <xdr:col>3</xdr:col>
      <xdr:colOff>580157</xdr:colOff>
      <xdr:row>20</xdr:row>
      <xdr:rowOff>160194</xdr:rowOff>
    </xdr:from>
    <xdr:to>
      <xdr:col>4</xdr:col>
      <xdr:colOff>186168</xdr:colOff>
      <xdr:row>22</xdr:row>
      <xdr:rowOff>25978</xdr:rowOff>
    </xdr:to>
    <xdr:sp macro="" textlink="">
      <xdr:nvSpPr>
        <xdr:cNvPr id="61" name="60 CuadroTexto"/>
        <xdr:cNvSpPr txBox="1"/>
      </xdr:nvSpPr>
      <xdr:spPr>
        <a:xfrm>
          <a:off x="2866157" y="3970194"/>
          <a:ext cx="368011" cy="2467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800" b="1"/>
            <a:t>54</a:t>
          </a:r>
          <a:endParaRPr lang="es-AR" sz="1100" b="1"/>
        </a:p>
      </xdr:txBody>
    </xdr:sp>
    <xdr:clientData/>
  </xdr:twoCellAnchor>
  <xdr:twoCellAnchor>
    <xdr:from>
      <xdr:col>9</xdr:col>
      <xdr:colOff>742950</xdr:colOff>
      <xdr:row>21</xdr:row>
      <xdr:rowOff>19050</xdr:rowOff>
    </xdr:from>
    <xdr:to>
      <xdr:col>10</xdr:col>
      <xdr:colOff>285750</xdr:colOff>
      <xdr:row>22</xdr:row>
      <xdr:rowOff>171450</xdr:rowOff>
    </xdr:to>
    <xdr:sp macro="" textlink="">
      <xdr:nvSpPr>
        <xdr:cNvPr id="92" name="91 Cubo"/>
        <xdr:cNvSpPr/>
      </xdr:nvSpPr>
      <xdr:spPr>
        <a:xfrm>
          <a:off x="1504950" y="3829050"/>
          <a:ext cx="304800" cy="3429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11</xdr:col>
      <xdr:colOff>600075</xdr:colOff>
      <xdr:row>21</xdr:row>
      <xdr:rowOff>28575</xdr:rowOff>
    </xdr:from>
    <xdr:to>
      <xdr:col>12</xdr:col>
      <xdr:colOff>142875</xdr:colOff>
      <xdr:row>22</xdr:row>
      <xdr:rowOff>180975</xdr:rowOff>
    </xdr:to>
    <xdr:sp macro="" textlink="">
      <xdr:nvSpPr>
        <xdr:cNvPr id="93" name="92 Cubo"/>
        <xdr:cNvSpPr/>
      </xdr:nvSpPr>
      <xdr:spPr>
        <a:xfrm>
          <a:off x="2886075" y="3838575"/>
          <a:ext cx="304800" cy="3429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14</xdr:col>
      <xdr:colOff>533400</xdr:colOff>
      <xdr:row>17</xdr:row>
      <xdr:rowOff>95250</xdr:rowOff>
    </xdr:from>
    <xdr:to>
      <xdr:col>15</xdr:col>
      <xdr:colOff>28575</xdr:colOff>
      <xdr:row>18</xdr:row>
      <xdr:rowOff>133350</xdr:rowOff>
    </xdr:to>
    <xdr:sp macro="" textlink="">
      <xdr:nvSpPr>
        <xdr:cNvPr id="94" name="93 Cubo"/>
        <xdr:cNvSpPr/>
      </xdr:nvSpPr>
      <xdr:spPr>
        <a:xfrm>
          <a:off x="5105400" y="3143250"/>
          <a:ext cx="257175" cy="2286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13</xdr:col>
      <xdr:colOff>561975</xdr:colOff>
      <xdr:row>21</xdr:row>
      <xdr:rowOff>28575</xdr:rowOff>
    </xdr:from>
    <xdr:to>
      <xdr:col>14</xdr:col>
      <xdr:colOff>104775</xdr:colOff>
      <xdr:row>22</xdr:row>
      <xdr:rowOff>180975</xdr:rowOff>
    </xdr:to>
    <xdr:sp macro="" textlink="">
      <xdr:nvSpPr>
        <xdr:cNvPr id="95" name="94 Cubo"/>
        <xdr:cNvSpPr/>
      </xdr:nvSpPr>
      <xdr:spPr>
        <a:xfrm>
          <a:off x="4371975" y="3838575"/>
          <a:ext cx="304800" cy="3429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10</xdr:col>
      <xdr:colOff>0</xdr:colOff>
      <xdr:row>6</xdr:row>
      <xdr:rowOff>9525</xdr:rowOff>
    </xdr:from>
    <xdr:to>
      <xdr:col>15</xdr:col>
      <xdr:colOff>0</xdr:colOff>
      <xdr:row>21</xdr:row>
      <xdr:rowOff>0</xdr:rowOff>
    </xdr:to>
    <xdr:sp macro="" textlink="">
      <xdr:nvSpPr>
        <xdr:cNvPr id="96" name="95 Cubo"/>
        <xdr:cNvSpPr/>
      </xdr:nvSpPr>
      <xdr:spPr>
        <a:xfrm>
          <a:off x="1524000" y="962025"/>
          <a:ext cx="3810000" cy="2847975"/>
        </a:xfrm>
        <a:prstGeom prst="cube">
          <a:avLst/>
        </a:prstGeom>
        <a:solidFill>
          <a:schemeClr val="bg2">
            <a:lumMod val="90000"/>
          </a:schemeClr>
        </a:solidFill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9</xdr:col>
      <xdr:colOff>752475</xdr:colOff>
      <xdr:row>21</xdr:row>
      <xdr:rowOff>9525</xdr:rowOff>
    </xdr:from>
    <xdr:to>
      <xdr:col>14</xdr:col>
      <xdr:colOff>57150</xdr:colOff>
      <xdr:row>21</xdr:row>
      <xdr:rowOff>95250</xdr:rowOff>
    </xdr:to>
    <xdr:sp macro="" textlink="">
      <xdr:nvSpPr>
        <xdr:cNvPr id="97" name="96 Rectángulo"/>
        <xdr:cNvSpPr/>
      </xdr:nvSpPr>
      <xdr:spPr>
        <a:xfrm>
          <a:off x="1514475" y="3819525"/>
          <a:ext cx="3114675" cy="857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14</xdr:col>
      <xdr:colOff>395059</xdr:colOff>
      <xdr:row>16</xdr:row>
      <xdr:rowOff>95850</xdr:rowOff>
    </xdr:from>
    <xdr:to>
      <xdr:col>14</xdr:col>
      <xdr:colOff>440778</xdr:colOff>
      <xdr:row>22</xdr:row>
      <xdr:rowOff>17831</xdr:rowOff>
    </xdr:to>
    <xdr:sp macro="" textlink="">
      <xdr:nvSpPr>
        <xdr:cNvPr id="98" name="97 Rectángulo"/>
        <xdr:cNvSpPr/>
      </xdr:nvSpPr>
      <xdr:spPr>
        <a:xfrm rot="18760829">
          <a:off x="4457428" y="3462981"/>
          <a:ext cx="1064981" cy="4571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10</xdr:col>
      <xdr:colOff>9525</xdr:colOff>
      <xdr:row>19</xdr:row>
      <xdr:rowOff>47625</xdr:rowOff>
    </xdr:from>
    <xdr:to>
      <xdr:col>14</xdr:col>
      <xdr:colOff>57150</xdr:colOff>
      <xdr:row>19</xdr:row>
      <xdr:rowOff>57150</xdr:rowOff>
    </xdr:to>
    <xdr:cxnSp macro="">
      <xdr:nvCxnSpPr>
        <xdr:cNvPr id="99" name="98 Conector recto"/>
        <xdr:cNvCxnSpPr/>
      </xdr:nvCxnSpPr>
      <xdr:spPr>
        <a:xfrm flipV="1">
          <a:off x="1533525" y="3476625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752475</xdr:colOff>
      <xdr:row>17</xdr:row>
      <xdr:rowOff>38100</xdr:rowOff>
    </xdr:from>
    <xdr:to>
      <xdr:col>14</xdr:col>
      <xdr:colOff>38100</xdr:colOff>
      <xdr:row>17</xdr:row>
      <xdr:rowOff>47625</xdr:rowOff>
    </xdr:to>
    <xdr:cxnSp macro="">
      <xdr:nvCxnSpPr>
        <xdr:cNvPr id="100" name="99 Conector recto"/>
        <xdr:cNvCxnSpPr/>
      </xdr:nvCxnSpPr>
      <xdr:spPr>
        <a:xfrm flipV="1">
          <a:off x="1514475" y="3086100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15</xdr:row>
      <xdr:rowOff>66675</xdr:rowOff>
    </xdr:from>
    <xdr:to>
      <xdr:col>14</xdr:col>
      <xdr:colOff>57150</xdr:colOff>
      <xdr:row>15</xdr:row>
      <xdr:rowOff>76200</xdr:rowOff>
    </xdr:to>
    <xdr:cxnSp macro="">
      <xdr:nvCxnSpPr>
        <xdr:cNvPr id="101" name="100 Conector recto"/>
        <xdr:cNvCxnSpPr/>
      </xdr:nvCxnSpPr>
      <xdr:spPr>
        <a:xfrm flipV="1">
          <a:off x="1533525" y="2733675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13</xdr:row>
      <xdr:rowOff>104775</xdr:rowOff>
    </xdr:from>
    <xdr:to>
      <xdr:col>14</xdr:col>
      <xdr:colOff>47625</xdr:colOff>
      <xdr:row>13</xdr:row>
      <xdr:rowOff>114300</xdr:rowOff>
    </xdr:to>
    <xdr:cxnSp macro="">
      <xdr:nvCxnSpPr>
        <xdr:cNvPr id="102" name="101 Conector recto"/>
        <xdr:cNvCxnSpPr/>
      </xdr:nvCxnSpPr>
      <xdr:spPr>
        <a:xfrm flipV="1">
          <a:off x="1524000" y="2390775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752475</xdr:colOff>
      <xdr:row>11</xdr:row>
      <xdr:rowOff>104775</xdr:rowOff>
    </xdr:from>
    <xdr:to>
      <xdr:col>14</xdr:col>
      <xdr:colOff>38100</xdr:colOff>
      <xdr:row>11</xdr:row>
      <xdr:rowOff>114300</xdr:rowOff>
    </xdr:to>
    <xdr:cxnSp macro="">
      <xdr:nvCxnSpPr>
        <xdr:cNvPr id="103" name="102 Conector recto"/>
        <xdr:cNvCxnSpPr/>
      </xdr:nvCxnSpPr>
      <xdr:spPr>
        <a:xfrm flipV="1">
          <a:off x="1514475" y="2009775"/>
          <a:ext cx="3095625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15</xdr:row>
      <xdr:rowOff>85725</xdr:rowOff>
    </xdr:from>
    <xdr:to>
      <xdr:col>15</xdr:col>
      <xdr:colOff>9525</xdr:colOff>
      <xdr:row>19</xdr:row>
      <xdr:rowOff>47625</xdr:rowOff>
    </xdr:to>
    <xdr:cxnSp macro="">
      <xdr:nvCxnSpPr>
        <xdr:cNvPr id="104" name="103 Conector recto"/>
        <xdr:cNvCxnSpPr/>
      </xdr:nvCxnSpPr>
      <xdr:spPr>
        <a:xfrm flipV="1">
          <a:off x="4619625" y="2752725"/>
          <a:ext cx="723900" cy="723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13</xdr:row>
      <xdr:rowOff>85725</xdr:rowOff>
    </xdr:from>
    <xdr:to>
      <xdr:col>15</xdr:col>
      <xdr:colOff>9525</xdr:colOff>
      <xdr:row>17</xdr:row>
      <xdr:rowOff>47625</xdr:rowOff>
    </xdr:to>
    <xdr:cxnSp macro="">
      <xdr:nvCxnSpPr>
        <xdr:cNvPr id="105" name="104 Conector recto"/>
        <xdr:cNvCxnSpPr/>
      </xdr:nvCxnSpPr>
      <xdr:spPr>
        <a:xfrm flipV="1">
          <a:off x="4619625" y="2371725"/>
          <a:ext cx="723900" cy="723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11</xdr:row>
      <xdr:rowOff>125016</xdr:rowOff>
    </xdr:from>
    <xdr:to>
      <xdr:col>15</xdr:col>
      <xdr:colOff>0</xdr:colOff>
      <xdr:row>15</xdr:row>
      <xdr:rowOff>66675</xdr:rowOff>
    </xdr:to>
    <xdr:cxnSp macro="">
      <xdr:nvCxnSpPr>
        <xdr:cNvPr id="106" name="105 Conector recto"/>
        <xdr:cNvCxnSpPr>
          <a:endCxn id="96" idx="5"/>
        </xdr:cNvCxnSpPr>
      </xdr:nvCxnSpPr>
      <xdr:spPr>
        <a:xfrm flipV="1">
          <a:off x="4638675" y="2030016"/>
          <a:ext cx="695325" cy="70365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9</xdr:row>
      <xdr:rowOff>161925</xdr:rowOff>
    </xdr:from>
    <xdr:to>
      <xdr:col>14</xdr:col>
      <xdr:colOff>752475</xdr:colOff>
      <xdr:row>13</xdr:row>
      <xdr:rowOff>123825</xdr:rowOff>
    </xdr:to>
    <xdr:cxnSp macro="">
      <xdr:nvCxnSpPr>
        <xdr:cNvPr id="107" name="106 Conector recto"/>
        <xdr:cNvCxnSpPr/>
      </xdr:nvCxnSpPr>
      <xdr:spPr>
        <a:xfrm flipV="1">
          <a:off x="4600575" y="1685925"/>
          <a:ext cx="723900" cy="723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38100</xdr:colOff>
      <xdr:row>7</xdr:row>
      <xdr:rowOff>171450</xdr:rowOff>
    </xdr:from>
    <xdr:to>
      <xdr:col>15</xdr:col>
      <xdr:colOff>0</xdr:colOff>
      <xdr:row>11</xdr:row>
      <xdr:rowOff>133350</xdr:rowOff>
    </xdr:to>
    <xdr:cxnSp macro="">
      <xdr:nvCxnSpPr>
        <xdr:cNvPr id="108" name="107 Conector recto"/>
        <xdr:cNvCxnSpPr/>
      </xdr:nvCxnSpPr>
      <xdr:spPr>
        <a:xfrm flipV="1">
          <a:off x="4610100" y="1314450"/>
          <a:ext cx="723900" cy="7239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25003</xdr:colOff>
      <xdr:row>9</xdr:row>
      <xdr:rowOff>150019</xdr:rowOff>
    </xdr:from>
    <xdr:to>
      <xdr:col>12</xdr:col>
      <xdr:colOff>28575</xdr:colOff>
      <xdr:row>11</xdr:row>
      <xdr:rowOff>123825</xdr:rowOff>
    </xdr:to>
    <xdr:cxnSp macro="">
      <xdr:nvCxnSpPr>
        <xdr:cNvPr id="109" name="108 Conector recto"/>
        <xdr:cNvCxnSpPr>
          <a:stCxn id="96" idx="1"/>
        </xdr:cNvCxnSpPr>
      </xdr:nvCxnSpPr>
      <xdr:spPr>
        <a:xfrm>
          <a:off x="3073003" y="1674019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25003</xdr:colOff>
      <xdr:row>13</xdr:row>
      <xdr:rowOff>121444</xdr:rowOff>
    </xdr:from>
    <xdr:to>
      <xdr:col>12</xdr:col>
      <xdr:colOff>28575</xdr:colOff>
      <xdr:row>15</xdr:row>
      <xdr:rowOff>95250</xdr:rowOff>
    </xdr:to>
    <xdr:cxnSp macro="">
      <xdr:nvCxnSpPr>
        <xdr:cNvPr id="110" name="109 Conector recto"/>
        <xdr:cNvCxnSpPr/>
      </xdr:nvCxnSpPr>
      <xdr:spPr>
        <a:xfrm>
          <a:off x="3073003" y="2407444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34528</xdr:colOff>
      <xdr:row>17</xdr:row>
      <xdr:rowOff>64294</xdr:rowOff>
    </xdr:from>
    <xdr:to>
      <xdr:col>12</xdr:col>
      <xdr:colOff>38100</xdr:colOff>
      <xdr:row>19</xdr:row>
      <xdr:rowOff>38100</xdr:rowOff>
    </xdr:to>
    <xdr:cxnSp macro="">
      <xdr:nvCxnSpPr>
        <xdr:cNvPr id="111" name="110 Conector recto"/>
        <xdr:cNvCxnSpPr/>
      </xdr:nvCxnSpPr>
      <xdr:spPr>
        <a:xfrm>
          <a:off x="3082528" y="3112294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234553</xdr:colOff>
      <xdr:row>19</xdr:row>
      <xdr:rowOff>35719</xdr:rowOff>
    </xdr:from>
    <xdr:to>
      <xdr:col>11</xdr:col>
      <xdr:colOff>238125</xdr:colOff>
      <xdr:row>21</xdr:row>
      <xdr:rowOff>9525</xdr:rowOff>
    </xdr:to>
    <xdr:cxnSp macro="">
      <xdr:nvCxnSpPr>
        <xdr:cNvPr id="112" name="111 Conector recto"/>
        <xdr:cNvCxnSpPr/>
      </xdr:nvCxnSpPr>
      <xdr:spPr>
        <a:xfrm>
          <a:off x="2520553" y="3464719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520303</xdr:colOff>
      <xdr:row>19</xdr:row>
      <xdr:rowOff>54769</xdr:rowOff>
    </xdr:from>
    <xdr:to>
      <xdr:col>12</xdr:col>
      <xdr:colOff>523875</xdr:colOff>
      <xdr:row>21</xdr:row>
      <xdr:rowOff>28575</xdr:rowOff>
    </xdr:to>
    <xdr:cxnSp macro="">
      <xdr:nvCxnSpPr>
        <xdr:cNvPr id="113" name="112 Conector recto"/>
        <xdr:cNvCxnSpPr/>
      </xdr:nvCxnSpPr>
      <xdr:spPr>
        <a:xfrm>
          <a:off x="3568303" y="3483769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520303</xdr:colOff>
      <xdr:row>15</xdr:row>
      <xdr:rowOff>64294</xdr:rowOff>
    </xdr:from>
    <xdr:to>
      <xdr:col>12</xdr:col>
      <xdr:colOff>523875</xdr:colOff>
      <xdr:row>17</xdr:row>
      <xdr:rowOff>38100</xdr:rowOff>
    </xdr:to>
    <xdr:cxnSp macro="">
      <xdr:nvCxnSpPr>
        <xdr:cNvPr id="114" name="113 Conector recto"/>
        <xdr:cNvCxnSpPr/>
      </xdr:nvCxnSpPr>
      <xdr:spPr>
        <a:xfrm>
          <a:off x="3568303" y="2731294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520303</xdr:colOff>
      <xdr:row>11</xdr:row>
      <xdr:rowOff>124621</xdr:rowOff>
    </xdr:from>
    <xdr:to>
      <xdr:col>12</xdr:col>
      <xdr:colOff>523875</xdr:colOff>
      <xdr:row>13</xdr:row>
      <xdr:rowOff>98427</xdr:rowOff>
    </xdr:to>
    <xdr:cxnSp macro="">
      <xdr:nvCxnSpPr>
        <xdr:cNvPr id="115" name="114 Conector recto"/>
        <xdr:cNvCxnSpPr/>
      </xdr:nvCxnSpPr>
      <xdr:spPr>
        <a:xfrm>
          <a:off x="3568303" y="2029621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244078</xdr:colOff>
      <xdr:row>15</xdr:row>
      <xdr:rowOff>64294</xdr:rowOff>
    </xdr:from>
    <xdr:to>
      <xdr:col>11</xdr:col>
      <xdr:colOff>247650</xdr:colOff>
      <xdr:row>17</xdr:row>
      <xdr:rowOff>38100</xdr:rowOff>
    </xdr:to>
    <xdr:cxnSp macro="">
      <xdr:nvCxnSpPr>
        <xdr:cNvPr id="116" name="115 Conector recto"/>
        <xdr:cNvCxnSpPr/>
      </xdr:nvCxnSpPr>
      <xdr:spPr>
        <a:xfrm>
          <a:off x="2530078" y="2731294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234553</xdr:colOff>
      <xdr:row>11</xdr:row>
      <xdr:rowOff>130969</xdr:rowOff>
    </xdr:from>
    <xdr:to>
      <xdr:col>11</xdr:col>
      <xdr:colOff>238125</xdr:colOff>
      <xdr:row>13</xdr:row>
      <xdr:rowOff>104775</xdr:rowOff>
    </xdr:to>
    <xdr:cxnSp macro="">
      <xdr:nvCxnSpPr>
        <xdr:cNvPr id="117" name="116 Conector recto"/>
        <xdr:cNvCxnSpPr/>
      </xdr:nvCxnSpPr>
      <xdr:spPr>
        <a:xfrm>
          <a:off x="2520553" y="2035969"/>
          <a:ext cx="3572" cy="3548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304800</xdr:colOff>
      <xdr:row>8</xdr:row>
      <xdr:rowOff>38100</xdr:rowOff>
    </xdr:from>
    <xdr:to>
      <xdr:col>14</xdr:col>
      <xdr:colOff>342900</xdr:colOff>
      <xdr:row>8</xdr:row>
      <xdr:rowOff>47625</xdr:rowOff>
    </xdr:to>
    <xdr:cxnSp macro="">
      <xdr:nvCxnSpPr>
        <xdr:cNvPr id="118" name="117 Conector recto"/>
        <xdr:cNvCxnSpPr/>
      </xdr:nvCxnSpPr>
      <xdr:spPr>
        <a:xfrm flipV="1">
          <a:off x="1828800" y="1371600"/>
          <a:ext cx="3086100" cy="95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25003</xdr:colOff>
      <xdr:row>8</xdr:row>
      <xdr:rowOff>47625</xdr:rowOff>
    </xdr:from>
    <xdr:to>
      <xdr:col>12</xdr:col>
      <xdr:colOff>323850</xdr:colOff>
      <xdr:row>9</xdr:row>
      <xdr:rowOff>150019</xdr:rowOff>
    </xdr:to>
    <xdr:cxnSp macro="">
      <xdr:nvCxnSpPr>
        <xdr:cNvPr id="119" name="118 Conector recto"/>
        <xdr:cNvCxnSpPr>
          <a:stCxn id="96" idx="1"/>
        </xdr:cNvCxnSpPr>
      </xdr:nvCxnSpPr>
      <xdr:spPr>
        <a:xfrm flipV="1">
          <a:off x="3073003" y="1381125"/>
          <a:ext cx="298847" cy="29289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590550</xdr:colOff>
      <xdr:row>6</xdr:row>
      <xdr:rowOff>19050</xdr:rowOff>
    </xdr:from>
    <xdr:to>
      <xdr:col>12</xdr:col>
      <xdr:colOff>190500</xdr:colOff>
      <xdr:row>8</xdr:row>
      <xdr:rowOff>47625</xdr:rowOff>
    </xdr:to>
    <xdr:cxnSp macro="">
      <xdr:nvCxnSpPr>
        <xdr:cNvPr id="120" name="119 Conector recto"/>
        <xdr:cNvCxnSpPr/>
      </xdr:nvCxnSpPr>
      <xdr:spPr>
        <a:xfrm flipV="1">
          <a:off x="2876550" y="971550"/>
          <a:ext cx="361950" cy="4095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128058</xdr:colOff>
      <xdr:row>6</xdr:row>
      <xdr:rowOff>1059</xdr:rowOff>
    </xdr:from>
    <xdr:to>
      <xdr:col>13</xdr:col>
      <xdr:colOff>490008</xdr:colOff>
      <xdr:row>8</xdr:row>
      <xdr:rowOff>29634</xdr:rowOff>
    </xdr:to>
    <xdr:cxnSp macro="">
      <xdr:nvCxnSpPr>
        <xdr:cNvPr id="121" name="120 Conector recto"/>
        <xdr:cNvCxnSpPr/>
      </xdr:nvCxnSpPr>
      <xdr:spPr>
        <a:xfrm flipV="1">
          <a:off x="3938058" y="953559"/>
          <a:ext cx="361950" cy="4095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333375</xdr:colOff>
      <xdr:row>8</xdr:row>
      <xdr:rowOff>28575</xdr:rowOff>
    </xdr:from>
    <xdr:to>
      <xdr:col>14</xdr:col>
      <xdr:colOff>343958</xdr:colOff>
      <xdr:row>10</xdr:row>
      <xdr:rowOff>26458</xdr:rowOff>
    </xdr:to>
    <xdr:cxnSp macro="">
      <xdr:nvCxnSpPr>
        <xdr:cNvPr id="122" name="121 Conector recto"/>
        <xdr:cNvCxnSpPr/>
      </xdr:nvCxnSpPr>
      <xdr:spPr>
        <a:xfrm>
          <a:off x="4905375" y="1362075"/>
          <a:ext cx="10583" cy="3788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340784</xdr:colOff>
      <xdr:row>12</xdr:row>
      <xdr:rowOff>14817</xdr:rowOff>
    </xdr:from>
    <xdr:to>
      <xdr:col>14</xdr:col>
      <xdr:colOff>349250</xdr:colOff>
      <xdr:row>14</xdr:row>
      <xdr:rowOff>0</xdr:rowOff>
    </xdr:to>
    <xdr:cxnSp macro="">
      <xdr:nvCxnSpPr>
        <xdr:cNvPr id="123" name="122 Conector recto"/>
        <xdr:cNvCxnSpPr/>
      </xdr:nvCxnSpPr>
      <xdr:spPr>
        <a:xfrm>
          <a:off x="4912784" y="2110317"/>
          <a:ext cx="8466" cy="3661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343958</xdr:colOff>
      <xdr:row>15</xdr:row>
      <xdr:rowOff>153458</xdr:rowOff>
    </xdr:from>
    <xdr:to>
      <xdr:col>14</xdr:col>
      <xdr:colOff>352425</xdr:colOff>
      <xdr:row>17</xdr:row>
      <xdr:rowOff>114300</xdr:rowOff>
    </xdr:to>
    <xdr:cxnSp macro="">
      <xdr:nvCxnSpPr>
        <xdr:cNvPr id="124" name="123 Conector recto"/>
        <xdr:cNvCxnSpPr/>
      </xdr:nvCxnSpPr>
      <xdr:spPr>
        <a:xfrm>
          <a:off x="4915958" y="2820458"/>
          <a:ext cx="8467" cy="34184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533400</xdr:colOff>
      <xdr:row>9</xdr:row>
      <xdr:rowOff>11641</xdr:rowOff>
    </xdr:from>
    <xdr:to>
      <xdr:col>14</xdr:col>
      <xdr:colOff>543983</xdr:colOff>
      <xdr:row>11</xdr:row>
      <xdr:rowOff>9524</xdr:rowOff>
    </xdr:to>
    <xdr:cxnSp macro="">
      <xdr:nvCxnSpPr>
        <xdr:cNvPr id="125" name="124 Conector recto"/>
        <xdr:cNvCxnSpPr/>
      </xdr:nvCxnSpPr>
      <xdr:spPr>
        <a:xfrm>
          <a:off x="5105400" y="1535641"/>
          <a:ext cx="10583" cy="3788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529167</xdr:colOff>
      <xdr:row>12</xdr:row>
      <xdr:rowOff>185208</xdr:rowOff>
    </xdr:from>
    <xdr:to>
      <xdr:col>14</xdr:col>
      <xdr:colOff>532342</xdr:colOff>
      <xdr:row>14</xdr:row>
      <xdr:rowOff>135465</xdr:rowOff>
    </xdr:to>
    <xdr:cxnSp macro="">
      <xdr:nvCxnSpPr>
        <xdr:cNvPr id="126" name="125 Conector recto"/>
        <xdr:cNvCxnSpPr/>
      </xdr:nvCxnSpPr>
      <xdr:spPr>
        <a:xfrm>
          <a:off x="5101167" y="2280708"/>
          <a:ext cx="3175" cy="3312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537634</xdr:colOff>
      <xdr:row>16</xdr:row>
      <xdr:rowOff>116416</xdr:rowOff>
    </xdr:from>
    <xdr:to>
      <xdr:col>14</xdr:col>
      <xdr:colOff>548217</xdr:colOff>
      <xdr:row>18</xdr:row>
      <xdr:rowOff>114299</xdr:rowOff>
    </xdr:to>
    <xdr:cxnSp macro="">
      <xdr:nvCxnSpPr>
        <xdr:cNvPr id="127" name="126 Conector recto"/>
        <xdr:cNvCxnSpPr/>
      </xdr:nvCxnSpPr>
      <xdr:spPr>
        <a:xfrm>
          <a:off x="5109634" y="2973916"/>
          <a:ext cx="10583" cy="37888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619125</xdr:colOff>
      <xdr:row>21</xdr:row>
      <xdr:rowOff>151534</xdr:rowOff>
    </xdr:from>
    <xdr:to>
      <xdr:col>12</xdr:col>
      <xdr:colOff>69272</xdr:colOff>
      <xdr:row>22</xdr:row>
      <xdr:rowOff>168852</xdr:rowOff>
    </xdr:to>
    <xdr:sp macro="" textlink="">
      <xdr:nvSpPr>
        <xdr:cNvPr id="128" name="127 Rectángulo"/>
        <xdr:cNvSpPr/>
      </xdr:nvSpPr>
      <xdr:spPr>
        <a:xfrm>
          <a:off x="2905125" y="3961534"/>
          <a:ext cx="212147" cy="20781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600"/>
        </a:p>
      </xdr:txBody>
    </xdr:sp>
    <xdr:clientData/>
  </xdr:twoCellAnchor>
  <xdr:twoCellAnchor>
    <xdr:from>
      <xdr:col>11</xdr:col>
      <xdr:colOff>580157</xdr:colOff>
      <xdr:row>21</xdr:row>
      <xdr:rowOff>160194</xdr:rowOff>
    </xdr:from>
    <xdr:to>
      <xdr:col>12</xdr:col>
      <xdr:colOff>186168</xdr:colOff>
      <xdr:row>23</xdr:row>
      <xdr:rowOff>25978</xdr:rowOff>
    </xdr:to>
    <xdr:sp macro="" textlink="">
      <xdr:nvSpPr>
        <xdr:cNvPr id="129" name="128 CuadroTexto"/>
        <xdr:cNvSpPr txBox="1"/>
      </xdr:nvSpPr>
      <xdr:spPr>
        <a:xfrm>
          <a:off x="2866157" y="3970194"/>
          <a:ext cx="368011" cy="2467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800" b="1"/>
            <a:t>54</a:t>
          </a:r>
          <a:endParaRPr lang="es-AR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632540</xdr:colOff>
      <xdr:row>0</xdr:row>
      <xdr:rowOff>0</xdr:rowOff>
    </xdr:from>
    <xdr:to>
      <xdr:col>2</xdr:col>
      <xdr:colOff>78049</xdr:colOff>
      <xdr:row>51</xdr:row>
      <xdr:rowOff>0</xdr:rowOff>
    </xdr:to>
    <xdr:sp macro="" textlink="">
      <xdr:nvSpPr>
        <xdr:cNvPr id="23" name="22 Rectángulo"/>
        <xdr:cNvSpPr/>
      </xdr:nvSpPr>
      <xdr:spPr>
        <a:xfrm>
          <a:off x="1394540" y="0"/>
          <a:ext cx="207509" cy="9715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</xdr:col>
      <xdr:colOff>725632</xdr:colOff>
      <xdr:row>34</xdr:row>
      <xdr:rowOff>127289</xdr:rowOff>
    </xdr:from>
    <xdr:to>
      <xdr:col>10</xdr:col>
      <xdr:colOff>258907</xdr:colOff>
      <xdr:row>35</xdr:row>
      <xdr:rowOff>147205</xdr:rowOff>
    </xdr:to>
    <xdr:sp macro="" textlink="">
      <xdr:nvSpPr>
        <xdr:cNvPr id="19" name="18 Bisel"/>
        <xdr:cNvSpPr/>
      </xdr:nvSpPr>
      <xdr:spPr>
        <a:xfrm>
          <a:off x="1487632" y="5842289"/>
          <a:ext cx="6391275" cy="210416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</xdr:col>
      <xdr:colOff>27708</xdr:colOff>
      <xdr:row>36</xdr:row>
      <xdr:rowOff>183579</xdr:rowOff>
    </xdr:from>
    <xdr:to>
      <xdr:col>10</xdr:col>
      <xdr:colOff>370608</xdr:colOff>
      <xdr:row>55</xdr:row>
      <xdr:rowOff>21654</xdr:rowOff>
    </xdr:to>
    <xdr:grpSp>
      <xdr:nvGrpSpPr>
        <xdr:cNvPr id="14" name="13 Grupo"/>
        <xdr:cNvGrpSpPr/>
      </xdr:nvGrpSpPr>
      <xdr:grpSpPr>
        <a:xfrm>
          <a:off x="785820" y="7181538"/>
          <a:ext cx="7165910" cy="3531443"/>
          <a:chOff x="762000" y="0"/>
          <a:chExt cx="7200900" cy="3457575"/>
        </a:xfrm>
      </xdr:grpSpPr>
      <xdr:pic>
        <xdr:nvPicPr>
          <xdr:cNvPr id="15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762000" y="0"/>
            <a:ext cx="3990975" cy="3457575"/>
          </a:xfrm>
          <a:prstGeom prst="rect">
            <a:avLst/>
          </a:prstGeom>
          <a:noFill/>
        </xdr:spPr>
      </xdr:pic>
      <xdr:pic>
        <xdr:nvPicPr>
          <xdr:cNvPr id="16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3971925" y="0"/>
            <a:ext cx="3990975" cy="345757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0</xdr:col>
      <xdr:colOff>757919</xdr:colOff>
      <xdr:row>21</xdr:row>
      <xdr:rowOff>13860</xdr:rowOff>
    </xdr:from>
    <xdr:to>
      <xdr:col>10</xdr:col>
      <xdr:colOff>338819</xdr:colOff>
      <xdr:row>39</xdr:row>
      <xdr:rowOff>42435</xdr:rowOff>
    </xdr:to>
    <xdr:grpSp>
      <xdr:nvGrpSpPr>
        <xdr:cNvPr id="11" name="10 Grupo"/>
        <xdr:cNvGrpSpPr/>
      </xdr:nvGrpSpPr>
      <xdr:grpSpPr>
        <a:xfrm>
          <a:off x="757919" y="4096003"/>
          <a:ext cx="7162022" cy="3527554"/>
          <a:chOff x="762000" y="0"/>
          <a:chExt cx="7200900" cy="3457575"/>
        </a:xfrm>
      </xdr:grpSpPr>
      <xdr:pic>
        <xdr:nvPicPr>
          <xdr:cNvPr id="12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762000" y="0"/>
            <a:ext cx="3990975" cy="3457575"/>
          </a:xfrm>
          <a:prstGeom prst="rect">
            <a:avLst/>
          </a:prstGeom>
          <a:noFill/>
        </xdr:spPr>
      </xdr:pic>
      <xdr:pic>
        <xdr:nvPicPr>
          <xdr:cNvPr id="1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3971925" y="0"/>
            <a:ext cx="3990975" cy="345757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</xdr:col>
      <xdr:colOff>751603</xdr:colOff>
      <xdr:row>17</xdr:row>
      <xdr:rowOff>109981</xdr:rowOff>
    </xdr:from>
    <xdr:to>
      <xdr:col>10</xdr:col>
      <xdr:colOff>284878</xdr:colOff>
      <xdr:row>18</xdr:row>
      <xdr:rowOff>86591</xdr:rowOff>
    </xdr:to>
    <xdr:sp macro="" textlink="">
      <xdr:nvSpPr>
        <xdr:cNvPr id="9" name="8 Bisel"/>
        <xdr:cNvSpPr/>
      </xdr:nvSpPr>
      <xdr:spPr>
        <a:xfrm>
          <a:off x="1513603" y="2586481"/>
          <a:ext cx="6391275" cy="16711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10</xdr:col>
      <xdr:colOff>342900</xdr:colOff>
      <xdr:row>22</xdr:row>
      <xdr:rowOff>28575</xdr:rowOff>
    </xdr:to>
    <xdr:grpSp>
      <xdr:nvGrpSpPr>
        <xdr:cNvPr id="10" name="9 Grupo"/>
        <xdr:cNvGrpSpPr/>
      </xdr:nvGrpSpPr>
      <xdr:grpSpPr>
        <a:xfrm>
          <a:off x="758112" y="777551"/>
          <a:ext cx="7165910" cy="3527555"/>
          <a:chOff x="762000" y="0"/>
          <a:chExt cx="7200900" cy="3457575"/>
        </a:xfrm>
      </xdr:grpSpPr>
      <xdr:pic>
        <xdr:nvPicPr>
          <xdr:cNvPr id="2050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762000" y="0"/>
            <a:ext cx="3990975" cy="3457575"/>
          </a:xfrm>
          <a:prstGeom prst="rect">
            <a:avLst/>
          </a:prstGeom>
          <a:noFill/>
        </xdr:spPr>
      </xdr:pic>
      <xdr:pic>
        <xdr:nvPicPr>
          <xdr:cNvPr id="3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/>
          <a:stretch>
            <a:fillRect/>
          </a:stretch>
        </xdr:blipFill>
        <xdr:spPr bwMode="auto">
          <a:xfrm>
            <a:off x="3971925" y="0"/>
            <a:ext cx="3990975" cy="345757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</xdr:col>
      <xdr:colOff>36368</xdr:colOff>
      <xdr:row>22</xdr:row>
      <xdr:rowOff>866</xdr:rowOff>
    </xdr:from>
    <xdr:to>
      <xdr:col>9</xdr:col>
      <xdr:colOff>331643</xdr:colOff>
      <xdr:row>23</xdr:row>
      <xdr:rowOff>77066</xdr:rowOff>
    </xdr:to>
    <xdr:sp macro="" textlink="">
      <xdr:nvSpPr>
        <xdr:cNvPr id="5" name="4 Bisel"/>
        <xdr:cNvSpPr/>
      </xdr:nvSpPr>
      <xdr:spPr>
        <a:xfrm>
          <a:off x="798368" y="4191866"/>
          <a:ext cx="6391275" cy="2667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</xdr:col>
      <xdr:colOff>50223</xdr:colOff>
      <xdr:row>39</xdr:row>
      <xdr:rowOff>23380</xdr:rowOff>
    </xdr:from>
    <xdr:to>
      <xdr:col>9</xdr:col>
      <xdr:colOff>345498</xdr:colOff>
      <xdr:row>40</xdr:row>
      <xdr:rowOff>99580</xdr:rowOff>
    </xdr:to>
    <xdr:sp macro="" textlink="">
      <xdr:nvSpPr>
        <xdr:cNvPr id="17" name="16 Bisel"/>
        <xdr:cNvSpPr/>
      </xdr:nvSpPr>
      <xdr:spPr>
        <a:xfrm>
          <a:off x="812223" y="6690880"/>
          <a:ext cx="6391275" cy="2667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9</xdr:col>
      <xdr:colOff>357187</xdr:colOff>
      <xdr:row>4</xdr:row>
      <xdr:rowOff>13608</xdr:rowOff>
    </xdr:from>
    <xdr:to>
      <xdr:col>9</xdr:col>
      <xdr:colOff>564696</xdr:colOff>
      <xdr:row>55</xdr:row>
      <xdr:rowOff>13608</xdr:rowOff>
    </xdr:to>
    <xdr:sp macro="" textlink="">
      <xdr:nvSpPr>
        <xdr:cNvPr id="20" name="19 Rectángulo"/>
        <xdr:cNvSpPr/>
      </xdr:nvSpPr>
      <xdr:spPr>
        <a:xfrm>
          <a:off x="7215187" y="13608"/>
          <a:ext cx="207509" cy="9715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10</xdr:col>
      <xdr:colOff>305515</xdr:colOff>
      <xdr:row>0</xdr:row>
      <xdr:rowOff>2664</xdr:rowOff>
    </xdr:from>
    <xdr:to>
      <xdr:col>10</xdr:col>
      <xdr:colOff>513024</xdr:colOff>
      <xdr:row>51</xdr:row>
      <xdr:rowOff>2664</xdr:rowOff>
    </xdr:to>
    <xdr:sp macro="" textlink="">
      <xdr:nvSpPr>
        <xdr:cNvPr id="21" name="20 Rectángulo"/>
        <xdr:cNvSpPr/>
      </xdr:nvSpPr>
      <xdr:spPr>
        <a:xfrm>
          <a:off x="7925515" y="2664"/>
          <a:ext cx="207509" cy="9715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9</xdr:col>
      <xdr:colOff>357188</xdr:colOff>
      <xdr:row>4</xdr:row>
      <xdr:rowOff>142874</xdr:rowOff>
    </xdr:from>
    <xdr:to>
      <xdr:col>9</xdr:col>
      <xdr:colOff>564696</xdr:colOff>
      <xdr:row>51</xdr:row>
      <xdr:rowOff>13607</xdr:rowOff>
    </xdr:to>
    <xdr:sp macro="" textlink="">
      <xdr:nvSpPr>
        <xdr:cNvPr id="22" name="21 Rectángulo"/>
        <xdr:cNvSpPr/>
      </xdr:nvSpPr>
      <xdr:spPr>
        <a:xfrm>
          <a:off x="7215188" y="904874"/>
          <a:ext cx="207508" cy="8824233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0</xdr:col>
      <xdr:colOff>684212</xdr:colOff>
      <xdr:row>3</xdr:row>
      <xdr:rowOff>169694</xdr:rowOff>
    </xdr:from>
    <xdr:to>
      <xdr:col>1</xdr:col>
      <xdr:colOff>129721</xdr:colOff>
      <xdr:row>54</xdr:row>
      <xdr:rowOff>169694</xdr:rowOff>
    </xdr:to>
    <xdr:sp macro="" textlink="">
      <xdr:nvSpPr>
        <xdr:cNvPr id="24" name="23 Rectángulo"/>
        <xdr:cNvSpPr/>
      </xdr:nvSpPr>
      <xdr:spPr>
        <a:xfrm>
          <a:off x="684212" y="741194"/>
          <a:ext cx="207509" cy="97155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9</xdr:col>
      <xdr:colOff>523875</xdr:colOff>
      <xdr:row>8</xdr:row>
      <xdr:rowOff>63500</xdr:rowOff>
    </xdr:from>
    <xdr:to>
      <xdr:col>10</xdr:col>
      <xdr:colOff>301625</xdr:colOff>
      <xdr:row>15</xdr:row>
      <xdr:rowOff>158750</xdr:rowOff>
    </xdr:to>
    <xdr:cxnSp macro="">
      <xdr:nvCxnSpPr>
        <xdr:cNvPr id="26" name="25 Conector recto"/>
        <xdr:cNvCxnSpPr/>
      </xdr:nvCxnSpPr>
      <xdr:spPr>
        <a:xfrm>
          <a:off x="7381875" y="1587500"/>
          <a:ext cx="539750" cy="1428750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24</xdr:row>
      <xdr:rowOff>184150</xdr:rowOff>
    </xdr:from>
    <xdr:to>
      <xdr:col>10</xdr:col>
      <xdr:colOff>311150</xdr:colOff>
      <xdr:row>32</xdr:row>
      <xdr:rowOff>88900</xdr:rowOff>
    </xdr:to>
    <xdr:cxnSp macro="">
      <xdr:nvCxnSpPr>
        <xdr:cNvPr id="27" name="26 Conector recto"/>
        <xdr:cNvCxnSpPr/>
      </xdr:nvCxnSpPr>
      <xdr:spPr>
        <a:xfrm>
          <a:off x="7391400" y="4756150"/>
          <a:ext cx="539750" cy="1428750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527050</xdr:colOff>
      <xdr:row>40</xdr:row>
      <xdr:rowOff>177800</xdr:rowOff>
    </xdr:from>
    <xdr:to>
      <xdr:col>10</xdr:col>
      <xdr:colOff>304800</xdr:colOff>
      <xdr:row>48</xdr:row>
      <xdr:rowOff>82550</xdr:rowOff>
    </xdr:to>
    <xdr:cxnSp macro="">
      <xdr:nvCxnSpPr>
        <xdr:cNvPr id="28" name="27 Conector recto"/>
        <xdr:cNvCxnSpPr/>
      </xdr:nvCxnSpPr>
      <xdr:spPr>
        <a:xfrm>
          <a:off x="7385050" y="7797800"/>
          <a:ext cx="539750" cy="1428750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568326</xdr:colOff>
      <xdr:row>37</xdr:row>
      <xdr:rowOff>79375</xdr:rowOff>
    </xdr:from>
    <xdr:to>
      <xdr:col>10</xdr:col>
      <xdr:colOff>285750</xdr:colOff>
      <xdr:row>51</xdr:row>
      <xdr:rowOff>76200</xdr:rowOff>
    </xdr:to>
    <xdr:cxnSp macro="">
      <xdr:nvCxnSpPr>
        <xdr:cNvPr id="29" name="28 Conector recto"/>
        <xdr:cNvCxnSpPr/>
      </xdr:nvCxnSpPr>
      <xdr:spPr>
        <a:xfrm flipH="1">
          <a:off x="7426326" y="7127875"/>
          <a:ext cx="479424" cy="2663825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577851</xdr:colOff>
      <xdr:row>21</xdr:row>
      <xdr:rowOff>104775</xdr:rowOff>
    </xdr:from>
    <xdr:to>
      <xdr:col>10</xdr:col>
      <xdr:colOff>295275</xdr:colOff>
      <xdr:row>35</xdr:row>
      <xdr:rowOff>101600</xdr:rowOff>
    </xdr:to>
    <xdr:cxnSp macro="">
      <xdr:nvCxnSpPr>
        <xdr:cNvPr id="32" name="31 Conector recto"/>
        <xdr:cNvCxnSpPr/>
      </xdr:nvCxnSpPr>
      <xdr:spPr>
        <a:xfrm flipH="1">
          <a:off x="7435851" y="4105275"/>
          <a:ext cx="479424" cy="2663825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587376</xdr:colOff>
      <xdr:row>4</xdr:row>
      <xdr:rowOff>98425</xdr:rowOff>
    </xdr:from>
    <xdr:to>
      <xdr:col>10</xdr:col>
      <xdr:colOff>304800</xdr:colOff>
      <xdr:row>18</xdr:row>
      <xdr:rowOff>95250</xdr:rowOff>
    </xdr:to>
    <xdr:cxnSp macro="">
      <xdr:nvCxnSpPr>
        <xdr:cNvPr id="33" name="32 Conector recto"/>
        <xdr:cNvCxnSpPr/>
      </xdr:nvCxnSpPr>
      <xdr:spPr>
        <a:xfrm flipH="1">
          <a:off x="7445376" y="860425"/>
          <a:ext cx="479424" cy="2663825"/>
        </a:xfrm>
        <a:prstGeom prst="line">
          <a:avLst/>
        </a:prstGeom>
        <a:ln w="762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720328</xdr:colOff>
      <xdr:row>20</xdr:row>
      <xdr:rowOff>178594</xdr:rowOff>
    </xdr:from>
    <xdr:to>
      <xdr:col>3</xdr:col>
      <xdr:colOff>166688</xdr:colOff>
      <xdr:row>21</xdr:row>
      <xdr:rowOff>178594</xdr:rowOff>
    </xdr:to>
    <xdr:sp macro="" textlink="">
      <xdr:nvSpPr>
        <xdr:cNvPr id="34" name="33 Rectángulo"/>
        <xdr:cNvSpPr/>
      </xdr:nvSpPr>
      <xdr:spPr>
        <a:xfrm>
          <a:off x="2244328" y="3988594"/>
          <a:ext cx="208360" cy="1905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7</xdr:col>
      <xdr:colOff>122634</xdr:colOff>
      <xdr:row>20</xdr:row>
      <xdr:rowOff>182165</xdr:rowOff>
    </xdr:from>
    <xdr:to>
      <xdr:col>7</xdr:col>
      <xdr:colOff>330994</xdr:colOff>
      <xdr:row>21</xdr:row>
      <xdr:rowOff>182165</xdr:rowOff>
    </xdr:to>
    <xdr:sp macro="" textlink="">
      <xdr:nvSpPr>
        <xdr:cNvPr id="35" name="34 Rectángulo"/>
        <xdr:cNvSpPr/>
      </xdr:nvSpPr>
      <xdr:spPr>
        <a:xfrm>
          <a:off x="5456634" y="3992165"/>
          <a:ext cx="208360" cy="1905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2</xdr:col>
      <xdr:colOff>727471</xdr:colOff>
      <xdr:row>38</xdr:row>
      <xdr:rowOff>7143</xdr:rowOff>
    </xdr:from>
    <xdr:to>
      <xdr:col>3</xdr:col>
      <xdr:colOff>173831</xdr:colOff>
      <xdr:row>39</xdr:row>
      <xdr:rowOff>7143</xdr:rowOff>
    </xdr:to>
    <xdr:sp macro="" textlink="">
      <xdr:nvSpPr>
        <xdr:cNvPr id="36" name="35 Rectángulo"/>
        <xdr:cNvSpPr/>
      </xdr:nvSpPr>
      <xdr:spPr>
        <a:xfrm>
          <a:off x="2251471" y="7246143"/>
          <a:ext cx="208360" cy="1905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7</xdr:col>
      <xdr:colOff>129777</xdr:colOff>
      <xdr:row>38</xdr:row>
      <xdr:rowOff>4762</xdr:rowOff>
    </xdr:from>
    <xdr:to>
      <xdr:col>7</xdr:col>
      <xdr:colOff>338137</xdr:colOff>
      <xdr:row>39</xdr:row>
      <xdr:rowOff>4762</xdr:rowOff>
    </xdr:to>
    <xdr:sp macro="" textlink="">
      <xdr:nvSpPr>
        <xdr:cNvPr id="37" name="36 Rectángulo"/>
        <xdr:cNvSpPr/>
      </xdr:nvSpPr>
      <xdr:spPr>
        <a:xfrm>
          <a:off x="5463777" y="7243762"/>
          <a:ext cx="208360" cy="1905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2</xdr:col>
      <xdr:colOff>752474</xdr:colOff>
      <xdr:row>53</xdr:row>
      <xdr:rowOff>186927</xdr:rowOff>
    </xdr:from>
    <xdr:to>
      <xdr:col>3</xdr:col>
      <xdr:colOff>198834</xdr:colOff>
      <xdr:row>54</xdr:row>
      <xdr:rowOff>186927</xdr:rowOff>
    </xdr:to>
    <xdr:sp macro="" textlink="">
      <xdr:nvSpPr>
        <xdr:cNvPr id="38" name="37 Rectángulo"/>
        <xdr:cNvSpPr/>
      </xdr:nvSpPr>
      <xdr:spPr>
        <a:xfrm>
          <a:off x="2276474" y="10283427"/>
          <a:ext cx="208360" cy="1905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7</xdr:col>
      <xdr:colOff>148828</xdr:colOff>
      <xdr:row>53</xdr:row>
      <xdr:rowOff>178592</xdr:rowOff>
    </xdr:from>
    <xdr:to>
      <xdr:col>7</xdr:col>
      <xdr:colOff>357188</xdr:colOff>
      <xdr:row>54</xdr:row>
      <xdr:rowOff>178592</xdr:rowOff>
    </xdr:to>
    <xdr:sp macro="" textlink="">
      <xdr:nvSpPr>
        <xdr:cNvPr id="39" name="38 Rectángulo"/>
        <xdr:cNvSpPr/>
      </xdr:nvSpPr>
      <xdr:spPr>
        <a:xfrm>
          <a:off x="5482828" y="10275092"/>
          <a:ext cx="208360" cy="1905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2</xdr:col>
      <xdr:colOff>660799</xdr:colOff>
      <xdr:row>20</xdr:row>
      <xdr:rowOff>142875</xdr:rowOff>
    </xdr:from>
    <xdr:to>
      <xdr:col>3</xdr:col>
      <xdr:colOff>250033</xdr:colOff>
      <xdr:row>22</xdr:row>
      <xdr:rowOff>59531</xdr:rowOff>
    </xdr:to>
    <xdr:sp macro="" textlink="">
      <xdr:nvSpPr>
        <xdr:cNvPr id="40" name="39 CuadroTexto"/>
        <xdr:cNvSpPr txBox="1"/>
      </xdr:nvSpPr>
      <xdr:spPr>
        <a:xfrm>
          <a:off x="2184799" y="3952875"/>
          <a:ext cx="35123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1100"/>
            <a:t>54</a:t>
          </a:r>
        </a:p>
      </xdr:txBody>
    </xdr:sp>
    <xdr:clientData/>
  </xdr:twoCellAnchor>
  <xdr:twoCellAnchor>
    <xdr:from>
      <xdr:col>7</xdr:col>
      <xdr:colOff>69058</xdr:colOff>
      <xdr:row>20</xdr:row>
      <xdr:rowOff>158353</xdr:rowOff>
    </xdr:from>
    <xdr:to>
      <xdr:col>7</xdr:col>
      <xdr:colOff>420292</xdr:colOff>
      <xdr:row>22</xdr:row>
      <xdr:rowOff>75009</xdr:rowOff>
    </xdr:to>
    <xdr:sp macro="" textlink="">
      <xdr:nvSpPr>
        <xdr:cNvPr id="41" name="40 CuadroTexto"/>
        <xdr:cNvSpPr txBox="1"/>
      </xdr:nvSpPr>
      <xdr:spPr>
        <a:xfrm>
          <a:off x="5403058" y="3968353"/>
          <a:ext cx="35123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1100"/>
            <a:t>24</a:t>
          </a:r>
        </a:p>
      </xdr:txBody>
    </xdr:sp>
    <xdr:clientData/>
  </xdr:twoCellAnchor>
  <xdr:twoCellAnchor>
    <xdr:from>
      <xdr:col>2</xdr:col>
      <xdr:colOff>656036</xdr:colOff>
      <xdr:row>37</xdr:row>
      <xdr:rowOff>173830</xdr:rowOff>
    </xdr:from>
    <xdr:to>
      <xdr:col>3</xdr:col>
      <xdr:colOff>245270</xdr:colOff>
      <xdr:row>39</xdr:row>
      <xdr:rowOff>90486</xdr:rowOff>
    </xdr:to>
    <xdr:sp macro="" textlink="">
      <xdr:nvSpPr>
        <xdr:cNvPr id="42" name="41 CuadroTexto"/>
        <xdr:cNvSpPr txBox="1"/>
      </xdr:nvSpPr>
      <xdr:spPr>
        <a:xfrm>
          <a:off x="2180036" y="7222330"/>
          <a:ext cx="35123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1100"/>
            <a:t>17</a:t>
          </a:r>
        </a:p>
      </xdr:txBody>
    </xdr:sp>
    <xdr:clientData/>
  </xdr:twoCellAnchor>
  <xdr:twoCellAnchor>
    <xdr:from>
      <xdr:col>7</xdr:col>
      <xdr:colOff>70248</xdr:colOff>
      <xdr:row>37</xdr:row>
      <xdr:rowOff>165495</xdr:rowOff>
    </xdr:from>
    <xdr:to>
      <xdr:col>7</xdr:col>
      <xdr:colOff>421482</xdr:colOff>
      <xdr:row>39</xdr:row>
      <xdr:rowOff>82151</xdr:rowOff>
    </xdr:to>
    <xdr:sp macro="" textlink="">
      <xdr:nvSpPr>
        <xdr:cNvPr id="43" name="42 CuadroTexto"/>
        <xdr:cNvSpPr txBox="1"/>
      </xdr:nvSpPr>
      <xdr:spPr>
        <a:xfrm>
          <a:off x="5404248" y="7213995"/>
          <a:ext cx="35123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1100"/>
            <a:t>89</a:t>
          </a:r>
        </a:p>
      </xdr:txBody>
    </xdr:sp>
    <xdr:clientData/>
  </xdr:twoCellAnchor>
  <xdr:twoCellAnchor>
    <xdr:from>
      <xdr:col>2</xdr:col>
      <xdr:colOff>716756</xdr:colOff>
      <xdr:row>53</xdr:row>
      <xdr:rowOff>151207</xdr:rowOff>
    </xdr:from>
    <xdr:to>
      <xdr:col>3</xdr:col>
      <xdr:colOff>305990</xdr:colOff>
      <xdr:row>55</xdr:row>
      <xdr:rowOff>67863</xdr:rowOff>
    </xdr:to>
    <xdr:sp macro="" textlink="">
      <xdr:nvSpPr>
        <xdr:cNvPr id="44" name="43 CuadroTexto"/>
        <xdr:cNvSpPr txBox="1"/>
      </xdr:nvSpPr>
      <xdr:spPr>
        <a:xfrm>
          <a:off x="2240756" y="10247707"/>
          <a:ext cx="35123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1100"/>
            <a:t>7</a:t>
          </a:r>
        </a:p>
      </xdr:txBody>
    </xdr:sp>
    <xdr:clientData/>
  </xdr:twoCellAnchor>
  <xdr:twoCellAnchor>
    <xdr:from>
      <xdr:col>7</xdr:col>
      <xdr:colOff>77391</xdr:colOff>
      <xdr:row>53</xdr:row>
      <xdr:rowOff>142872</xdr:rowOff>
    </xdr:from>
    <xdr:to>
      <xdr:col>7</xdr:col>
      <xdr:colOff>428625</xdr:colOff>
      <xdr:row>55</xdr:row>
      <xdr:rowOff>59528</xdr:rowOff>
    </xdr:to>
    <xdr:sp macro="" textlink="">
      <xdr:nvSpPr>
        <xdr:cNvPr id="45" name="44 CuadroTexto"/>
        <xdr:cNvSpPr txBox="1"/>
      </xdr:nvSpPr>
      <xdr:spPr>
        <a:xfrm>
          <a:off x="5411391" y="10239372"/>
          <a:ext cx="351234" cy="2976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1100"/>
            <a:t>12</a:t>
          </a:r>
        </a:p>
      </xdr:txBody>
    </xdr:sp>
    <xdr:clientData/>
  </xdr:twoCellAnchor>
  <xdr:twoCellAnchor>
    <xdr:from>
      <xdr:col>3</xdr:col>
      <xdr:colOff>23823</xdr:colOff>
      <xdr:row>21</xdr:row>
      <xdr:rowOff>103179</xdr:rowOff>
    </xdr:from>
    <xdr:to>
      <xdr:col>3</xdr:col>
      <xdr:colOff>373074</xdr:colOff>
      <xdr:row>23</xdr:row>
      <xdr:rowOff>111124</xdr:rowOff>
    </xdr:to>
    <xdr:sp macro="" textlink="">
      <xdr:nvSpPr>
        <xdr:cNvPr id="46" name="45 CuadroTexto"/>
        <xdr:cNvSpPr txBox="1"/>
      </xdr:nvSpPr>
      <xdr:spPr>
        <a:xfrm>
          <a:off x="2309823" y="4103679"/>
          <a:ext cx="349251" cy="3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2400" b="1">
              <a:solidFill>
                <a:srgbClr val="FFFF00"/>
              </a:solidFill>
            </a:rPr>
            <a:t>1</a:t>
          </a:r>
          <a:endParaRPr lang="es-A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17477</xdr:colOff>
      <xdr:row>38</xdr:row>
      <xdr:rowOff>120640</xdr:rowOff>
    </xdr:from>
    <xdr:to>
      <xdr:col>3</xdr:col>
      <xdr:colOff>366728</xdr:colOff>
      <xdr:row>40</xdr:row>
      <xdr:rowOff>128585</xdr:rowOff>
    </xdr:to>
    <xdr:sp macro="" textlink="">
      <xdr:nvSpPr>
        <xdr:cNvPr id="47" name="46 CuadroTexto"/>
        <xdr:cNvSpPr txBox="1"/>
      </xdr:nvSpPr>
      <xdr:spPr>
        <a:xfrm>
          <a:off x="2303477" y="7359640"/>
          <a:ext cx="349251" cy="3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2400" b="1">
              <a:solidFill>
                <a:srgbClr val="FFFF00"/>
              </a:solidFill>
            </a:rPr>
            <a:t>1</a:t>
          </a:r>
          <a:endParaRPr lang="es-A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7</xdr:col>
      <xdr:colOff>114314</xdr:colOff>
      <xdr:row>38</xdr:row>
      <xdr:rowOff>130162</xdr:rowOff>
    </xdr:from>
    <xdr:to>
      <xdr:col>7</xdr:col>
      <xdr:colOff>463565</xdr:colOff>
      <xdr:row>40</xdr:row>
      <xdr:rowOff>138107</xdr:rowOff>
    </xdr:to>
    <xdr:sp macro="" textlink="">
      <xdr:nvSpPr>
        <xdr:cNvPr id="48" name="47 CuadroTexto"/>
        <xdr:cNvSpPr txBox="1"/>
      </xdr:nvSpPr>
      <xdr:spPr>
        <a:xfrm>
          <a:off x="5448314" y="7369162"/>
          <a:ext cx="349251" cy="3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2400" b="1">
              <a:solidFill>
                <a:srgbClr val="FFFF00"/>
              </a:solidFill>
            </a:rPr>
            <a:t>2</a:t>
          </a:r>
          <a:endParaRPr lang="es-AR" sz="1100" b="1">
            <a:solidFill>
              <a:srgbClr val="FFFF00"/>
            </a:solidFill>
          </a:endParaRPr>
        </a:p>
      </xdr:txBody>
    </xdr:sp>
    <xdr:clientData/>
  </xdr:twoCellAnchor>
  <xdr:twoCellAnchor>
    <xdr:from>
      <xdr:col>7</xdr:col>
      <xdr:colOff>84151</xdr:colOff>
      <xdr:row>21</xdr:row>
      <xdr:rowOff>99995</xdr:rowOff>
    </xdr:from>
    <xdr:to>
      <xdr:col>7</xdr:col>
      <xdr:colOff>433402</xdr:colOff>
      <xdr:row>23</xdr:row>
      <xdr:rowOff>107940</xdr:rowOff>
    </xdr:to>
    <xdr:sp macro="" textlink="">
      <xdr:nvSpPr>
        <xdr:cNvPr id="49" name="48 CuadroTexto"/>
        <xdr:cNvSpPr txBox="1"/>
      </xdr:nvSpPr>
      <xdr:spPr>
        <a:xfrm>
          <a:off x="5418151" y="4100495"/>
          <a:ext cx="349251" cy="388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AR" sz="2400" b="1">
              <a:solidFill>
                <a:srgbClr val="FFFF00"/>
              </a:solidFill>
            </a:rPr>
            <a:t>2</a:t>
          </a:r>
          <a:endParaRPr lang="es-AR" sz="1100" b="1">
            <a:solidFill>
              <a:srgbClr val="FFFF00"/>
            </a:solidFill>
          </a:endParaRPr>
        </a:p>
      </xdr:txBody>
    </xdr:sp>
    <xdr:clientData/>
  </xdr:twoCellAnchor>
  <xdr:oneCellAnchor>
    <xdr:from>
      <xdr:col>4</xdr:col>
      <xdr:colOff>367930</xdr:colOff>
      <xdr:row>42</xdr:row>
      <xdr:rowOff>126802</xdr:rowOff>
    </xdr:from>
    <xdr:ext cx="1242822" cy="1434561"/>
    <xdr:sp macro="" textlink="">
      <xdr:nvSpPr>
        <xdr:cNvPr id="51" name="50 Rectángulo"/>
        <xdr:cNvSpPr/>
      </xdr:nvSpPr>
      <xdr:spPr>
        <a:xfrm>
          <a:off x="3434515" y="7932656"/>
          <a:ext cx="1242822" cy="1434561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115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</a:t>
          </a:r>
          <a:endParaRPr lang="es-AR" sz="5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oneCellAnchor>
    <xdr:from>
      <xdr:col>4</xdr:col>
      <xdr:colOff>376874</xdr:colOff>
      <xdr:row>9</xdr:row>
      <xdr:rowOff>147168</xdr:rowOff>
    </xdr:from>
    <xdr:ext cx="1242822" cy="1434561"/>
    <xdr:sp macro="" textlink="">
      <xdr:nvSpPr>
        <xdr:cNvPr id="52" name="51 Rectángulo"/>
        <xdr:cNvSpPr/>
      </xdr:nvSpPr>
      <xdr:spPr>
        <a:xfrm>
          <a:off x="3443459" y="1819851"/>
          <a:ext cx="1242822" cy="1434561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115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C</a:t>
          </a:r>
          <a:endParaRPr lang="es-AR" sz="5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oneCellAnchor>
    <xdr:from>
      <xdr:col>4</xdr:col>
      <xdr:colOff>348435</xdr:colOff>
      <xdr:row>26</xdr:row>
      <xdr:rowOff>183796</xdr:rowOff>
    </xdr:from>
    <xdr:ext cx="1242822" cy="1434561"/>
    <xdr:sp macro="" textlink="">
      <xdr:nvSpPr>
        <xdr:cNvPr id="53" name="52 Rectángulo"/>
        <xdr:cNvSpPr/>
      </xdr:nvSpPr>
      <xdr:spPr>
        <a:xfrm>
          <a:off x="3415020" y="5015991"/>
          <a:ext cx="1242822" cy="1434561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115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B</a:t>
          </a:r>
          <a:endParaRPr lang="es-AR" sz="5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avier/control%20pesad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greso 1"/>
      <sheetName val="control pesada"/>
      <sheetName val="Ingreso 3"/>
      <sheetName val="sral"/>
      <sheetName val="enterea"/>
      <sheetName val="Fact con descuento"/>
      <sheetName val="Graziotin"/>
      <sheetName val="musa"/>
      <sheetName val="Tuli"/>
      <sheetName val="Vitale"/>
      <sheetName val="Formulario"/>
      <sheetName val="MENU"/>
      <sheetName val="CARTEL"/>
      <sheetName val="tres Arroyos"/>
      <sheetName val="----"/>
      <sheetName val="Hoja3"/>
      <sheetName val="Hoja2"/>
      <sheetName val="precios"/>
      <sheetName val="Hoja5"/>
    </sheetNames>
    <definedNames>
      <definedName name="IR_A_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K1094"/>
  <sheetViews>
    <sheetView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K5" sqref="K5"/>
    </sheetView>
  </sheetViews>
  <sheetFormatPr baseColWidth="10" defaultRowHeight="15"/>
  <cols>
    <col min="1" max="1" width="2" customWidth="1"/>
    <col min="2" max="2" width="11.42578125" style="1"/>
    <col min="3" max="3" width="55.7109375" bestFit="1" customWidth="1"/>
    <col min="4" max="4" width="14.42578125" style="19" bestFit="1" customWidth="1"/>
    <col min="5" max="7" width="12.140625" style="19" customWidth="1"/>
    <col min="8" max="8" width="3.28515625" style="19" customWidth="1"/>
    <col min="9" max="9" width="4.28515625" style="19" customWidth="1"/>
    <col min="10" max="10" width="25.42578125" bestFit="1" customWidth="1"/>
    <col min="11" max="11" width="31.28515625" bestFit="1" customWidth="1"/>
  </cols>
  <sheetData>
    <row r="1" spans="1:11" ht="30" customHeight="1">
      <c r="A1" s="16"/>
      <c r="B1" s="10"/>
      <c r="C1" s="16"/>
      <c r="D1" s="17"/>
      <c r="E1" s="17"/>
      <c r="F1" s="17"/>
      <c r="G1" s="17"/>
      <c r="H1" s="17"/>
      <c r="I1" s="17"/>
      <c r="J1" s="34" t="s">
        <v>1184</v>
      </c>
      <c r="K1" s="33" t="s">
        <v>1185</v>
      </c>
    </row>
    <row r="2" spans="1:11" ht="31.5" customHeight="1">
      <c r="A2" s="16"/>
      <c r="B2" s="10"/>
      <c r="C2" s="16"/>
      <c r="D2" s="18" t="s">
        <v>1153</v>
      </c>
      <c r="E2" s="21">
        <f>'C1'!G1</f>
        <v>3738</v>
      </c>
      <c r="F2" s="21">
        <f>'C2'!G1</f>
        <v>13614</v>
      </c>
      <c r="G2" s="21">
        <f>'C3'!G1</f>
        <v>21764</v>
      </c>
      <c r="H2" s="17"/>
      <c r="I2" s="17"/>
      <c r="J2" s="35"/>
      <c r="K2" s="16"/>
    </row>
    <row r="3" spans="1:11" ht="34.5" customHeight="1">
      <c r="A3" s="16"/>
      <c r="B3" s="10"/>
      <c r="C3" s="16" t="b">
        <f>ISNUMBER(SEARCH($D$2,C6,1))</f>
        <v>0</v>
      </c>
      <c r="D3" s="17"/>
      <c r="E3" s="20">
        <f>SUM(E6:E1094)</f>
        <v>3738</v>
      </c>
      <c r="F3" s="20">
        <f>SUM(F6:F1094)</f>
        <v>13614</v>
      </c>
      <c r="G3" s="20">
        <f>SUM(G6:G1094)</f>
        <v>21764</v>
      </c>
      <c r="H3" s="17"/>
      <c r="I3" s="17"/>
      <c r="J3" s="35" t="b">
        <f>ISNUMBER(SEARCH($J$1,J6,1))</f>
        <v>1</v>
      </c>
      <c r="K3" s="35" t="b">
        <f>ISNUMBER(SEARCH($K$1,K6,1))</f>
        <v>1</v>
      </c>
    </row>
    <row r="4" spans="1:11" ht="15.75" thickBot="1">
      <c r="A4" s="16"/>
      <c r="B4" s="10"/>
      <c r="C4" s="16"/>
      <c r="D4" s="17"/>
      <c r="E4" s="17"/>
      <c r="F4" s="17"/>
      <c r="G4" s="17"/>
      <c r="H4" s="17"/>
      <c r="I4" s="17"/>
      <c r="J4" s="36"/>
      <c r="K4" s="16"/>
    </row>
    <row r="5" spans="1:11" s="1" customFormat="1" ht="29.25" customHeight="1" thickBot="1">
      <c r="B5" s="23" t="s">
        <v>7</v>
      </c>
      <c r="C5" s="24" t="s">
        <v>1146</v>
      </c>
      <c r="D5" s="24" t="s">
        <v>1148</v>
      </c>
      <c r="E5" s="24" t="s">
        <v>1149</v>
      </c>
      <c r="F5" s="24" t="s">
        <v>1150</v>
      </c>
      <c r="G5" s="24" t="s">
        <v>1151</v>
      </c>
      <c r="H5" s="24"/>
      <c r="I5" s="24"/>
      <c r="J5" s="24" t="s">
        <v>9</v>
      </c>
      <c r="K5" s="25" t="s">
        <v>10</v>
      </c>
    </row>
    <row r="6" spans="1:11">
      <c r="B6" s="1">
        <v>1</v>
      </c>
      <c r="C6" s="4" t="s">
        <v>11</v>
      </c>
      <c r="D6" s="19">
        <f>SUM(E6:I6)</f>
        <v>1449</v>
      </c>
      <c r="E6" s="19">
        <f>SUMIF('C1'!$B$6:$B$2228,B6,'C1'!$D$6:$D$2228)</f>
        <v>1326</v>
      </c>
      <c r="F6" s="19">
        <f>SUMIF('C2'!$B$6:$B$2228,B6,'C2'!$D$6:$D$2228)</f>
        <v>123</v>
      </c>
      <c r="G6" s="19">
        <f>SUMIF('C3'!$B$6:$B$2228,B6,'C3'!$D$6:$D$2228)</f>
        <v>0</v>
      </c>
      <c r="J6" s="4" t="s">
        <v>12</v>
      </c>
      <c r="K6" s="4" t="s">
        <v>13</v>
      </c>
    </row>
    <row r="7" spans="1:11">
      <c r="B7" s="1">
        <v>2</v>
      </c>
      <c r="C7" s="4" t="s">
        <v>14</v>
      </c>
      <c r="D7" s="19">
        <f t="shared" ref="D7:D70" si="0">SUM(E7:I7)</f>
        <v>548</v>
      </c>
      <c r="E7" s="19">
        <f>SUMIF('C1'!$B$6:$B$2228,B7,'C1'!$D$6:$D$2228)</f>
        <v>0</v>
      </c>
      <c r="F7" s="19">
        <f>SUMIF('C2'!$B$6:$B$2228,B7,'C2'!$D$6:$D$2228)</f>
        <v>548</v>
      </c>
      <c r="G7" s="19">
        <f>SUMIF('C3'!$B$6:$B$2228,B7,'C3'!$D$6:$D$2228)</f>
        <v>0</v>
      </c>
      <c r="H7" s="22"/>
      <c r="I7" s="22"/>
      <c r="J7" s="4" t="s">
        <v>12</v>
      </c>
      <c r="K7" s="4" t="s">
        <v>13</v>
      </c>
    </row>
    <row r="8" spans="1:11">
      <c r="B8" s="1">
        <v>3</v>
      </c>
      <c r="C8" s="4" t="s">
        <v>15</v>
      </c>
      <c r="D8" s="19">
        <f t="shared" si="0"/>
        <v>66</v>
      </c>
      <c r="E8" s="19">
        <f>SUMIF('C1'!$B$6:$B$2228,B8,'C1'!$D$6:$D$2228)</f>
        <v>0</v>
      </c>
      <c r="F8" s="19">
        <f>SUMIF('C2'!$B$6:$B$2228,B8,'C2'!$D$6:$D$2228)</f>
        <v>66</v>
      </c>
      <c r="G8" s="19">
        <f>SUMIF('C3'!$B$6:$B$2228,B8,'C3'!$D$6:$D$2228)</f>
        <v>0</v>
      </c>
      <c r="H8" s="22"/>
      <c r="I8" s="22"/>
      <c r="J8" s="4" t="s">
        <v>16</v>
      </c>
      <c r="K8" s="4" t="s">
        <v>17</v>
      </c>
    </row>
    <row r="9" spans="1:11">
      <c r="B9" s="1">
        <v>4</v>
      </c>
      <c r="C9" s="4" t="s">
        <v>18</v>
      </c>
      <c r="D9" s="19">
        <f t="shared" si="0"/>
        <v>587</v>
      </c>
      <c r="E9" s="19">
        <f>SUMIF('C1'!$B$6:$B$2228,B9,'C1'!$D$6:$D$2228)</f>
        <v>0</v>
      </c>
      <c r="F9" s="19">
        <f>SUMIF('C2'!$B$6:$B$2228,B9,'C2'!$D$6:$D$2228)</f>
        <v>587</v>
      </c>
      <c r="G9" s="19">
        <f>SUMIF('C3'!$B$6:$B$2228,B9,'C3'!$D$6:$D$2228)</f>
        <v>0</v>
      </c>
      <c r="H9" s="22"/>
      <c r="I9" s="22"/>
      <c r="J9" s="4" t="s">
        <v>12</v>
      </c>
      <c r="K9" s="4" t="s">
        <v>13</v>
      </c>
    </row>
    <row r="10" spans="1:11">
      <c r="B10" s="1">
        <v>5</v>
      </c>
      <c r="C10" s="4" t="s">
        <v>19</v>
      </c>
      <c r="D10" s="19">
        <f t="shared" si="0"/>
        <v>246</v>
      </c>
      <c r="E10" s="19">
        <f>SUMIF('C1'!$B$6:$B$2228,B10,'C1'!$D$6:$D$2228)</f>
        <v>0</v>
      </c>
      <c r="F10" s="19">
        <f>SUMIF('C2'!$B$6:$B$2228,B10,'C2'!$D$6:$D$2228)</f>
        <v>246</v>
      </c>
      <c r="G10" s="19">
        <f>SUMIF('C3'!$B$6:$B$2228,B10,'C3'!$D$6:$D$2228)</f>
        <v>0</v>
      </c>
      <c r="H10" s="22"/>
      <c r="I10" s="22"/>
      <c r="J10" s="4" t="s">
        <v>12</v>
      </c>
      <c r="K10" s="4" t="s">
        <v>13</v>
      </c>
    </row>
    <row r="11" spans="1:11">
      <c r="B11" s="1">
        <v>6</v>
      </c>
      <c r="C11" s="4" t="s">
        <v>20</v>
      </c>
      <c r="D11" s="19">
        <f t="shared" si="0"/>
        <v>580</v>
      </c>
      <c r="E11" s="19">
        <f>SUMIF('C1'!$B$6:$B$2228,B11,'C1'!$D$6:$D$2228)</f>
        <v>254</v>
      </c>
      <c r="F11" s="19">
        <f>SUMIF('C2'!$B$6:$B$2228,B11,'C2'!$D$6:$D$2228)</f>
        <v>326</v>
      </c>
      <c r="G11" s="19">
        <f>SUMIF('C3'!$B$6:$B$2228,B11,'C3'!$D$6:$D$2228)</f>
        <v>0</v>
      </c>
      <c r="H11" s="22"/>
      <c r="I11" s="22"/>
      <c r="J11" s="4" t="s">
        <v>12</v>
      </c>
      <c r="K11" s="4" t="s">
        <v>13</v>
      </c>
    </row>
    <row r="12" spans="1:11">
      <c r="B12" s="1">
        <v>7</v>
      </c>
      <c r="C12" s="4" t="s">
        <v>21</v>
      </c>
      <c r="D12" s="19">
        <f t="shared" si="0"/>
        <v>73</v>
      </c>
      <c r="E12" s="19">
        <f>SUMIF('C1'!$B$6:$B$2228,B12,'C1'!$D$6:$D$2228)</f>
        <v>68</v>
      </c>
      <c r="F12" s="19">
        <f>SUMIF('C2'!$B$6:$B$2228,B12,'C2'!$D$6:$D$2228)</f>
        <v>5</v>
      </c>
      <c r="G12" s="19">
        <f>SUMIF('C3'!$B$6:$B$2228,B12,'C3'!$D$6:$D$2228)</f>
        <v>0</v>
      </c>
      <c r="H12" s="22"/>
      <c r="I12" s="22"/>
      <c r="J12" s="4" t="s">
        <v>12</v>
      </c>
      <c r="K12" s="4" t="s">
        <v>13</v>
      </c>
    </row>
    <row r="13" spans="1:11">
      <c r="B13" s="1">
        <v>8</v>
      </c>
      <c r="C13" s="4" t="s">
        <v>22</v>
      </c>
      <c r="D13" s="19">
        <f t="shared" si="0"/>
        <v>454</v>
      </c>
      <c r="E13" s="19">
        <f>SUMIF('C1'!$B$6:$B$2228,B13,'C1'!$D$6:$D$2228)</f>
        <v>356</v>
      </c>
      <c r="F13" s="19">
        <f>SUMIF('C2'!$B$6:$B$2228,B13,'C2'!$D$6:$D$2228)</f>
        <v>98</v>
      </c>
      <c r="G13" s="19">
        <f>SUMIF('C3'!$B$6:$B$2228,B13,'C3'!$D$6:$D$2228)</f>
        <v>0</v>
      </c>
      <c r="H13" s="22"/>
      <c r="I13" s="22"/>
      <c r="J13" s="4" t="s">
        <v>12</v>
      </c>
      <c r="K13" s="4" t="s">
        <v>13</v>
      </c>
    </row>
    <row r="14" spans="1:11">
      <c r="B14" s="1">
        <v>9</v>
      </c>
      <c r="C14" s="4" t="s">
        <v>23</v>
      </c>
      <c r="D14" s="19">
        <f t="shared" si="0"/>
        <v>0</v>
      </c>
      <c r="E14" s="19">
        <f>SUMIF('C1'!$B$6:$B$2228,B14,'C1'!$D$6:$D$2228)</f>
        <v>0</v>
      </c>
      <c r="F14" s="19">
        <f>SUMIF('C2'!$B$6:$B$2228,B14,'C2'!$D$6:$D$2228)</f>
        <v>0</v>
      </c>
      <c r="G14" s="19">
        <f>SUMIF('C3'!$B$6:$B$2228,B14,'C3'!$D$6:$D$2228)</f>
        <v>0</v>
      </c>
      <c r="H14" s="22"/>
      <c r="I14" s="22"/>
      <c r="J14" s="4" t="s">
        <v>16</v>
      </c>
      <c r="K14" s="4" t="s">
        <v>16</v>
      </c>
    </row>
    <row r="15" spans="1:11">
      <c r="B15" s="1">
        <v>10</v>
      </c>
      <c r="C15" s="4" t="s">
        <v>24</v>
      </c>
      <c r="D15" s="19">
        <f t="shared" si="0"/>
        <v>0</v>
      </c>
      <c r="E15" s="19">
        <f>SUMIF('C1'!$B$6:$B$2228,B15,'C1'!$D$6:$D$2228)</f>
        <v>0</v>
      </c>
      <c r="F15" s="19">
        <f>SUMIF('C2'!$B$6:$B$2228,B15,'C2'!$D$6:$D$2228)</f>
        <v>0</v>
      </c>
      <c r="G15" s="19">
        <f>SUMIF('C3'!$B$6:$B$2228,B15,'C3'!$D$6:$D$2228)</f>
        <v>0</v>
      </c>
      <c r="H15" s="22"/>
      <c r="I15" s="22"/>
      <c r="J15" s="4" t="s">
        <v>12</v>
      </c>
      <c r="K15" s="4" t="s">
        <v>13</v>
      </c>
    </row>
    <row r="16" spans="1:11">
      <c r="B16" s="1">
        <v>11</v>
      </c>
      <c r="C16" s="4" t="s">
        <v>25</v>
      </c>
      <c r="D16" s="19">
        <f t="shared" si="0"/>
        <v>0</v>
      </c>
      <c r="E16" s="19">
        <f>SUMIF('C1'!$B$6:$B$2228,B16,'C1'!$D$6:$D$2228)</f>
        <v>0</v>
      </c>
      <c r="F16" s="19">
        <f>SUMIF('C2'!$B$6:$B$2228,B16,'C2'!$D$6:$D$2228)</f>
        <v>0</v>
      </c>
      <c r="G16" s="19">
        <f>SUMIF('C3'!$B$6:$B$2228,B16,'C3'!$D$6:$D$2228)</f>
        <v>0</v>
      </c>
      <c r="H16" s="22"/>
      <c r="I16" s="22"/>
      <c r="J16" s="4" t="s">
        <v>12</v>
      </c>
      <c r="K16" s="4" t="s">
        <v>13</v>
      </c>
    </row>
    <row r="17" spans="2:11">
      <c r="B17" s="1">
        <v>12</v>
      </c>
      <c r="C17" s="4" t="s">
        <v>26</v>
      </c>
      <c r="D17" s="19">
        <f t="shared" si="0"/>
        <v>0</v>
      </c>
      <c r="E17" s="19">
        <f>SUMIF('C1'!$B$6:$B$2228,B17,'C1'!$D$6:$D$2228)</f>
        <v>0</v>
      </c>
      <c r="F17" s="19">
        <f>SUMIF('C2'!$B$6:$B$2228,B17,'C2'!$D$6:$D$2228)</f>
        <v>0</v>
      </c>
      <c r="G17" s="19">
        <f>SUMIF('C3'!$B$6:$B$2228,B17,'C3'!$D$6:$D$2228)</f>
        <v>0</v>
      </c>
      <c r="H17" s="22"/>
      <c r="I17" s="22"/>
      <c r="J17" s="4" t="s">
        <v>12</v>
      </c>
      <c r="K17" s="4" t="s">
        <v>13</v>
      </c>
    </row>
    <row r="18" spans="2:11">
      <c r="B18" s="1">
        <v>13</v>
      </c>
      <c r="C18" s="4" t="s">
        <v>27</v>
      </c>
      <c r="D18" s="19">
        <f t="shared" si="0"/>
        <v>0</v>
      </c>
      <c r="E18" s="19">
        <f>SUMIF('C1'!$B$6:$B$2228,B18,'C1'!$D$6:$D$2228)</f>
        <v>0</v>
      </c>
      <c r="F18" s="19">
        <f>SUMIF('C2'!$B$6:$B$2228,B18,'C2'!$D$6:$D$2228)</f>
        <v>0</v>
      </c>
      <c r="G18" s="19">
        <f>SUMIF('C3'!$B$6:$B$2228,B18,'C3'!$D$6:$D$2228)</f>
        <v>0</v>
      </c>
      <c r="H18" s="22"/>
      <c r="I18" s="22"/>
      <c r="J18" s="4" t="s">
        <v>12</v>
      </c>
      <c r="K18" s="4" t="s">
        <v>13</v>
      </c>
    </row>
    <row r="19" spans="2:11">
      <c r="B19" s="1">
        <v>14</v>
      </c>
      <c r="C19" s="4" t="s">
        <v>28</v>
      </c>
      <c r="D19" s="19">
        <f t="shared" si="0"/>
        <v>0</v>
      </c>
      <c r="E19" s="19">
        <f>SUMIF('C1'!$B$6:$B$2228,B19,'C1'!$D$6:$D$2228)</f>
        <v>0</v>
      </c>
      <c r="F19" s="19">
        <f>SUMIF('C2'!$B$6:$B$2228,B19,'C2'!$D$6:$D$2228)</f>
        <v>0</v>
      </c>
      <c r="G19" s="19">
        <f>SUMIF('C3'!$B$6:$B$2228,B19,'C3'!$D$6:$D$2228)</f>
        <v>0</v>
      </c>
      <c r="H19" s="22"/>
      <c r="I19" s="22"/>
      <c r="J19" s="4" t="s">
        <v>12</v>
      </c>
      <c r="K19" s="4" t="s">
        <v>13</v>
      </c>
    </row>
    <row r="20" spans="2:11">
      <c r="B20" s="1">
        <v>15</v>
      </c>
      <c r="C20" s="4" t="s">
        <v>29</v>
      </c>
      <c r="D20" s="19">
        <f t="shared" si="0"/>
        <v>0</v>
      </c>
      <c r="E20" s="19">
        <f>SUMIF('C1'!$B$6:$B$2228,B20,'C1'!$D$6:$D$2228)</f>
        <v>0</v>
      </c>
      <c r="F20" s="19">
        <f>SUMIF('C2'!$B$6:$B$2228,B20,'C2'!$D$6:$D$2228)</f>
        <v>0</v>
      </c>
      <c r="G20" s="19">
        <f>SUMIF('C3'!$B$6:$B$2228,B20,'C3'!$D$6:$D$2228)</f>
        <v>0</v>
      </c>
      <c r="H20" s="22"/>
      <c r="I20" s="22"/>
      <c r="J20" s="4" t="s">
        <v>12</v>
      </c>
      <c r="K20" s="4" t="s">
        <v>13</v>
      </c>
    </row>
    <row r="21" spans="2:11">
      <c r="B21" s="1">
        <v>16</v>
      </c>
      <c r="C21" s="4" t="s">
        <v>30</v>
      </c>
      <c r="D21" s="19">
        <f t="shared" si="0"/>
        <v>0</v>
      </c>
      <c r="E21" s="19">
        <f>SUMIF('C1'!$B$6:$B$2228,B21,'C1'!$D$6:$D$2228)</f>
        <v>0</v>
      </c>
      <c r="F21" s="19">
        <f>SUMIF('C2'!$B$6:$B$2228,B21,'C2'!$D$6:$D$2228)</f>
        <v>0</v>
      </c>
      <c r="G21" s="19">
        <f>SUMIF('C3'!$B$6:$B$2228,B21,'C3'!$D$6:$D$2228)</f>
        <v>0</v>
      </c>
      <c r="H21" s="22"/>
      <c r="I21" s="22"/>
      <c r="J21" s="4" t="s">
        <v>12</v>
      </c>
      <c r="K21" s="4" t="s">
        <v>13</v>
      </c>
    </row>
    <row r="22" spans="2:11">
      <c r="B22" s="1">
        <v>20</v>
      </c>
      <c r="C22" s="4" t="s">
        <v>31</v>
      </c>
      <c r="D22" s="19">
        <f t="shared" si="0"/>
        <v>0</v>
      </c>
      <c r="E22" s="19">
        <f>SUMIF('C1'!$B$6:$B$2228,B22,'C1'!$D$6:$D$2228)</f>
        <v>0</v>
      </c>
      <c r="F22" s="19">
        <f>SUMIF('C2'!$B$6:$B$2228,B22,'C2'!$D$6:$D$2228)</f>
        <v>0</v>
      </c>
      <c r="G22" s="19">
        <f>SUMIF('C3'!$B$6:$B$2228,B22,'C3'!$D$6:$D$2228)</f>
        <v>0</v>
      </c>
      <c r="H22" s="22"/>
      <c r="I22" s="22"/>
      <c r="J22" s="4" t="s">
        <v>12</v>
      </c>
      <c r="K22" s="4" t="s">
        <v>13</v>
      </c>
    </row>
    <row r="23" spans="2:11">
      <c r="B23" s="1">
        <v>23</v>
      </c>
      <c r="C23" s="4" t="s">
        <v>32</v>
      </c>
      <c r="D23" s="19">
        <f t="shared" si="0"/>
        <v>0</v>
      </c>
      <c r="E23" s="19">
        <f>SUMIF('C1'!$B$6:$B$2228,B23,'C1'!$D$6:$D$2228)</f>
        <v>0</v>
      </c>
      <c r="F23" s="19">
        <f>SUMIF('C2'!$B$6:$B$2228,B23,'C2'!$D$6:$D$2228)</f>
        <v>0</v>
      </c>
      <c r="G23" s="19">
        <f>SUMIF('C3'!$B$6:$B$2228,B23,'C3'!$D$6:$D$2228)</f>
        <v>0</v>
      </c>
      <c r="H23" s="22"/>
      <c r="I23" s="22"/>
      <c r="J23" s="4" t="s">
        <v>12</v>
      </c>
      <c r="K23" s="4" t="s">
        <v>13</v>
      </c>
    </row>
    <row r="24" spans="2:11">
      <c r="B24" s="1">
        <v>25</v>
      </c>
      <c r="C24" s="4" t="s">
        <v>33</v>
      </c>
      <c r="D24" s="19">
        <f t="shared" si="0"/>
        <v>0</v>
      </c>
      <c r="E24" s="19">
        <f>SUMIF('C1'!$B$6:$B$2228,B24,'C1'!$D$6:$D$2228)</f>
        <v>0</v>
      </c>
      <c r="F24" s="19">
        <f>SUMIF('C2'!$B$6:$B$2228,B24,'C2'!$D$6:$D$2228)</f>
        <v>0</v>
      </c>
      <c r="G24" s="19">
        <f>SUMIF('C3'!$B$6:$B$2228,B24,'C3'!$D$6:$D$2228)</f>
        <v>0</v>
      </c>
      <c r="H24" s="22"/>
      <c r="I24" s="22"/>
      <c r="J24" s="4" t="s">
        <v>12</v>
      </c>
      <c r="K24" s="4" t="s">
        <v>13</v>
      </c>
    </row>
    <row r="25" spans="2:11">
      <c r="B25" s="1">
        <v>26</v>
      </c>
      <c r="C25" s="4" t="s">
        <v>34</v>
      </c>
      <c r="D25" s="19">
        <f t="shared" si="0"/>
        <v>0</v>
      </c>
      <c r="E25" s="19">
        <f>SUMIF('C1'!$B$6:$B$2228,B25,'C1'!$D$6:$D$2228)</f>
        <v>0</v>
      </c>
      <c r="F25" s="19">
        <f>SUMIF('C2'!$B$6:$B$2228,B25,'C2'!$D$6:$D$2228)</f>
        <v>0</v>
      </c>
      <c r="G25" s="19">
        <f>SUMIF('C3'!$B$6:$B$2228,B25,'C3'!$D$6:$D$2228)</f>
        <v>0</v>
      </c>
      <c r="H25" s="22"/>
      <c r="I25" s="22"/>
      <c r="J25" s="4" t="s">
        <v>12</v>
      </c>
      <c r="K25" s="4" t="s">
        <v>13</v>
      </c>
    </row>
    <row r="26" spans="2:11">
      <c r="B26" s="1">
        <v>27</v>
      </c>
      <c r="C26" s="4" t="s">
        <v>35</v>
      </c>
      <c r="D26" s="19">
        <f t="shared" si="0"/>
        <v>0</v>
      </c>
      <c r="E26" s="19">
        <f>SUMIF('C1'!$B$6:$B$2228,B26,'C1'!$D$6:$D$2228)</f>
        <v>0</v>
      </c>
      <c r="F26" s="19">
        <f>SUMIF('C2'!$B$6:$B$2228,B26,'C2'!$D$6:$D$2228)</f>
        <v>0</v>
      </c>
      <c r="G26" s="19">
        <f>SUMIF('C3'!$B$6:$B$2228,B26,'C3'!$D$6:$D$2228)</f>
        <v>0</v>
      </c>
      <c r="H26" s="22"/>
      <c r="I26" s="22"/>
      <c r="J26" s="4" t="s">
        <v>12</v>
      </c>
      <c r="K26" s="4" t="s">
        <v>13</v>
      </c>
    </row>
    <row r="27" spans="2:11">
      <c r="B27" s="1">
        <v>28</v>
      </c>
      <c r="C27" s="4" t="s">
        <v>36</v>
      </c>
      <c r="D27" s="19">
        <f t="shared" si="0"/>
        <v>0</v>
      </c>
      <c r="E27" s="19">
        <f>SUMIF('C1'!$B$6:$B$2228,B27,'C1'!$D$6:$D$2228)</f>
        <v>0</v>
      </c>
      <c r="F27" s="19">
        <f>SUMIF('C2'!$B$6:$B$2228,B27,'C2'!$D$6:$D$2228)</f>
        <v>0</v>
      </c>
      <c r="G27" s="19">
        <f>SUMIF('C3'!$B$6:$B$2228,B27,'C3'!$D$6:$D$2228)</f>
        <v>0</v>
      </c>
      <c r="H27" s="22"/>
      <c r="I27" s="22"/>
      <c r="J27" s="4" t="s">
        <v>12</v>
      </c>
      <c r="K27" s="4" t="s">
        <v>13</v>
      </c>
    </row>
    <row r="28" spans="2:11">
      <c r="B28" s="1">
        <v>29</v>
      </c>
      <c r="C28" s="4" t="s">
        <v>37</v>
      </c>
      <c r="D28" s="19">
        <f t="shared" si="0"/>
        <v>0</v>
      </c>
      <c r="E28" s="19">
        <f>SUMIF('C1'!$B$6:$B$2228,B28,'C1'!$D$6:$D$2228)</f>
        <v>0</v>
      </c>
      <c r="F28" s="19">
        <f>SUMIF('C2'!$B$6:$B$2228,B28,'C2'!$D$6:$D$2228)</f>
        <v>0</v>
      </c>
      <c r="G28" s="19">
        <f>SUMIF('C3'!$B$6:$B$2228,B28,'C3'!$D$6:$D$2228)</f>
        <v>0</v>
      </c>
      <c r="H28" s="22"/>
      <c r="I28" s="22"/>
      <c r="J28" s="4" t="s">
        <v>12</v>
      </c>
      <c r="K28" s="4" t="s">
        <v>13</v>
      </c>
    </row>
    <row r="29" spans="2:11">
      <c r="B29" s="1">
        <v>30</v>
      </c>
      <c r="C29" s="4" t="s">
        <v>38</v>
      </c>
      <c r="D29" s="19">
        <f t="shared" si="0"/>
        <v>0</v>
      </c>
      <c r="E29" s="19">
        <f>SUMIF('C1'!$B$6:$B$2228,B29,'C1'!$D$6:$D$2228)</f>
        <v>0</v>
      </c>
      <c r="F29" s="19">
        <f>SUMIF('C2'!$B$6:$B$2228,B29,'C2'!$D$6:$D$2228)</f>
        <v>0</v>
      </c>
      <c r="G29" s="19">
        <f>SUMIF('C3'!$B$6:$B$2228,B29,'C3'!$D$6:$D$2228)</f>
        <v>0</v>
      </c>
      <c r="H29" s="22"/>
      <c r="I29" s="22"/>
      <c r="J29" s="4" t="s">
        <v>12</v>
      </c>
      <c r="K29" s="4" t="s">
        <v>13</v>
      </c>
    </row>
    <row r="30" spans="2:11">
      <c r="B30" s="1">
        <v>31</v>
      </c>
      <c r="C30" s="4" t="s">
        <v>39</v>
      </c>
      <c r="D30" s="19">
        <f t="shared" si="0"/>
        <v>0</v>
      </c>
      <c r="E30" s="19">
        <f>SUMIF('C1'!$B$6:$B$2228,B30,'C1'!$D$6:$D$2228)</f>
        <v>0</v>
      </c>
      <c r="F30" s="19">
        <f>SUMIF('C2'!$B$6:$B$2228,B30,'C2'!$D$6:$D$2228)</f>
        <v>0</v>
      </c>
      <c r="G30" s="19">
        <f>SUMIF('C3'!$B$6:$B$2228,B30,'C3'!$D$6:$D$2228)</f>
        <v>0</v>
      </c>
      <c r="H30" s="22"/>
      <c r="I30" s="22"/>
      <c r="J30" s="4" t="s">
        <v>12</v>
      </c>
      <c r="K30" s="4" t="s">
        <v>13</v>
      </c>
    </row>
    <row r="31" spans="2:11">
      <c r="B31" s="1">
        <v>32</v>
      </c>
      <c r="C31" s="4" t="s">
        <v>40</v>
      </c>
      <c r="D31" s="19">
        <f t="shared" si="0"/>
        <v>0</v>
      </c>
      <c r="E31" s="19">
        <f>SUMIF('C1'!$B$6:$B$2228,B31,'C1'!$D$6:$D$2228)</f>
        <v>0</v>
      </c>
      <c r="F31" s="19">
        <f>SUMIF('C2'!$B$6:$B$2228,B31,'C2'!$D$6:$D$2228)</f>
        <v>0</v>
      </c>
      <c r="G31" s="19">
        <f>SUMIF('C3'!$B$6:$B$2228,B31,'C3'!$D$6:$D$2228)</f>
        <v>0</v>
      </c>
      <c r="H31" s="22"/>
      <c r="I31" s="22"/>
      <c r="J31" s="4" t="s">
        <v>12</v>
      </c>
      <c r="K31" s="4" t="s">
        <v>13</v>
      </c>
    </row>
    <row r="32" spans="2:11">
      <c r="B32" s="1">
        <v>33</v>
      </c>
      <c r="C32" s="4" t="s">
        <v>41</v>
      </c>
      <c r="D32" s="19">
        <f t="shared" si="0"/>
        <v>0</v>
      </c>
      <c r="E32" s="19">
        <f>SUMIF('C1'!$B$6:$B$2228,B32,'C1'!$D$6:$D$2228)</f>
        <v>0</v>
      </c>
      <c r="F32" s="19">
        <f>SUMIF('C2'!$B$6:$B$2228,B32,'C2'!$D$6:$D$2228)</f>
        <v>0</v>
      </c>
      <c r="G32" s="19">
        <f>SUMIF('C3'!$B$6:$B$2228,B32,'C3'!$D$6:$D$2228)</f>
        <v>0</v>
      </c>
      <c r="H32" s="22"/>
      <c r="I32" s="22"/>
      <c r="J32" s="4" t="s">
        <v>12</v>
      </c>
      <c r="K32" s="4" t="s">
        <v>13</v>
      </c>
    </row>
    <row r="33" spans="2:11">
      <c r="B33" s="1">
        <v>34</v>
      </c>
      <c r="C33" s="4" t="s">
        <v>42</v>
      </c>
      <c r="D33" s="19">
        <f t="shared" si="0"/>
        <v>0</v>
      </c>
      <c r="E33" s="19">
        <f>SUMIF('C1'!$B$6:$B$2228,B33,'C1'!$D$6:$D$2228)</f>
        <v>0</v>
      </c>
      <c r="F33" s="19">
        <f>SUMIF('C2'!$B$6:$B$2228,B33,'C2'!$D$6:$D$2228)</f>
        <v>0</v>
      </c>
      <c r="G33" s="19">
        <f>SUMIF('C3'!$B$6:$B$2228,B33,'C3'!$D$6:$D$2228)</f>
        <v>0</v>
      </c>
      <c r="H33" s="22"/>
      <c r="I33" s="22"/>
      <c r="J33" s="4" t="s">
        <v>12</v>
      </c>
      <c r="K33" s="4" t="s">
        <v>13</v>
      </c>
    </row>
    <row r="34" spans="2:11">
      <c r="B34" s="1">
        <v>35</v>
      </c>
      <c r="C34" s="4" t="s">
        <v>43</v>
      </c>
      <c r="D34" s="19">
        <f t="shared" si="0"/>
        <v>0</v>
      </c>
      <c r="E34" s="19">
        <f>SUMIF('C1'!$B$6:$B$2228,B34,'C1'!$D$6:$D$2228)</f>
        <v>0</v>
      </c>
      <c r="F34" s="19">
        <f>SUMIF('C2'!$B$6:$B$2228,B34,'C2'!$D$6:$D$2228)</f>
        <v>0</v>
      </c>
      <c r="G34" s="19">
        <f>SUMIF('C3'!$B$6:$B$2228,B34,'C3'!$D$6:$D$2228)</f>
        <v>0</v>
      </c>
      <c r="H34" s="22"/>
      <c r="I34" s="22"/>
      <c r="J34" s="4" t="s">
        <v>12</v>
      </c>
      <c r="K34" s="4" t="s">
        <v>13</v>
      </c>
    </row>
    <row r="35" spans="2:11">
      <c r="B35" s="1">
        <v>36</v>
      </c>
      <c r="C35" s="4" t="s">
        <v>44</v>
      </c>
      <c r="D35" s="19">
        <f t="shared" si="0"/>
        <v>0</v>
      </c>
      <c r="E35" s="19">
        <f>SUMIF('C1'!$B$6:$B$2228,B35,'C1'!$D$6:$D$2228)</f>
        <v>0</v>
      </c>
      <c r="F35" s="19">
        <f>SUMIF('C2'!$B$6:$B$2228,B35,'C2'!$D$6:$D$2228)</f>
        <v>0</v>
      </c>
      <c r="G35" s="19">
        <f>SUMIF('C3'!$B$6:$B$2228,B35,'C3'!$D$6:$D$2228)</f>
        <v>0</v>
      </c>
      <c r="H35" s="22"/>
      <c r="I35" s="22"/>
      <c r="J35" s="4" t="s">
        <v>12</v>
      </c>
      <c r="K35" s="4" t="s">
        <v>13</v>
      </c>
    </row>
    <row r="36" spans="2:11">
      <c r="B36" s="1">
        <v>37</v>
      </c>
      <c r="C36" s="4" t="s">
        <v>45</v>
      </c>
      <c r="D36" s="19">
        <f t="shared" si="0"/>
        <v>0</v>
      </c>
      <c r="E36" s="19">
        <f>SUMIF('C1'!$B$6:$B$2228,B36,'C1'!$D$6:$D$2228)</f>
        <v>0</v>
      </c>
      <c r="F36" s="19">
        <f>SUMIF('C2'!$B$6:$B$2228,B36,'C2'!$D$6:$D$2228)</f>
        <v>0</v>
      </c>
      <c r="G36" s="19">
        <f>SUMIF('C3'!$B$6:$B$2228,B36,'C3'!$D$6:$D$2228)</f>
        <v>0</v>
      </c>
      <c r="H36" s="22"/>
      <c r="I36" s="22"/>
      <c r="J36" s="4" t="s">
        <v>12</v>
      </c>
      <c r="K36" s="4" t="s">
        <v>13</v>
      </c>
    </row>
    <row r="37" spans="2:11">
      <c r="B37" s="1">
        <v>38</v>
      </c>
      <c r="C37" s="4" t="s">
        <v>46</v>
      </c>
      <c r="D37" s="19">
        <f t="shared" si="0"/>
        <v>0</v>
      </c>
      <c r="E37" s="19">
        <f>SUMIF('C1'!$B$6:$B$2228,B37,'C1'!$D$6:$D$2228)</f>
        <v>0</v>
      </c>
      <c r="F37" s="19">
        <f>SUMIF('C2'!$B$6:$B$2228,B37,'C2'!$D$6:$D$2228)</f>
        <v>0</v>
      </c>
      <c r="G37" s="19">
        <f>SUMIF('C3'!$B$6:$B$2228,B37,'C3'!$D$6:$D$2228)</f>
        <v>0</v>
      </c>
      <c r="H37" s="22"/>
      <c r="I37" s="22"/>
      <c r="J37" s="4" t="s">
        <v>12</v>
      </c>
      <c r="K37" s="4" t="s">
        <v>13</v>
      </c>
    </row>
    <row r="38" spans="2:11">
      <c r="B38" s="1">
        <v>39</v>
      </c>
      <c r="C38" s="4" t="s">
        <v>47</v>
      </c>
      <c r="D38" s="19">
        <f t="shared" si="0"/>
        <v>0</v>
      </c>
      <c r="E38" s="19">
        <f>SUMIF('C1'!$B$6:$B$2228,B38,'C1'!$D$6:$D$2228)</f>
        <v>0</v>
      </c>
      <c r="F38" s="19">
        <f>SUMIF('C2'!$B$6:$B$2228,B38,'C2'!$D$6:$D$2228)</f>
        <v>0</v>
      </c>
      <c r="G38" s="19">
        <f>SUMIF('C3'!$B$6:$B$2228,B38,'C3'!$D$6:$D$2228)</f>
        <v>0</v>
      </c>
      <c r="H38" s="22"/>
      <c r="I38" s="22"/>
      <c r="J38" s="4" t="s">
        <v>12</v>
      </c>
      <c r="K38" s="4" t="s">
        <v>13</v>
      </c>
    </row>
    <row r="39" spans="2:11">
      <c r="B39" s="1">
        <v>40</v>
      </c>
      <c r="C39" s="4" t="s">
        <v>48</v>
      </c>
      <c r="D39" s="19">
        <f t="shared" si="0"/>
        <v>0</v>
      </c>
      <c r="E39" s="19">
        <f>SUMIF('C1'!$B$6:$B$2228,B39,'C1'!$D$6:$D$2228)</f>
        <v>0</v>
      </c>
      <c r="F39" s="19">
        <f>SUMIF('C2'!$B$6:$B$2228,B39,'C2'!$D$6:$D$2228)</f>
        <v>0</v>
      </c>
      <c r="G39" s="19">
        <f>SUMIF('C3'!$B$6:$B$2228,B39,'C3'!$D$6:$D$2228)</f>
        <v>0</v>
      </c>
      <c r="H39" s="22"/>
      <c r="I39" s="22"/>
      <c r="J39" s="4" t="s">
        <v>12</v>
      </c>
      <c r="K39" s="4" t="s">
        <v>13</v>
      </c>
    </row>
    <row r="40" spans="2:11">
      <c r="B40" s="1">
        <v>41</v>
      </c>
      <c r="C40" s="4" t="s">
        <v>49</v>
      </c>
      <c r="D40" s="19">
        <f t="shared" si="0"/>
        <v>0</v>
      </c>
      <c r="E40" s="19">
        <f>SUMIF('C1'!$B$6:$B$2228,B40,'C1'!$D$6:$D$2228)</f>
        <v>0</v>
      </c>
      <c r="F40" s="19">
        <f>SUMIF('C2'!$B$6:$B$2228,B40,'C2'!$D$6:$D$2228)</f>
        <v>0</v>
      </c>
      <c r="G40" s="19">
        <f>SUMIF('C3'!$B$6:$B$2228,B40,'C3'!$D$6:$D$2228)</f>
        <v>0</v>
      </c>
      <c r="H40" s="22"/>
      <c r="I40" s="22"/>
      <c r="J40" s="4" t="s">
        <v>12</v>
      </c>
      <c r="K40" s="4" t="s">
        <v>13</v>
      </c>
    </row>
    <row r="41" spans="2:11">
      <c r="B41" s="1">
        <v>42</v>
      </c>
      <c r="C41" s="4" t="s">
        <v>50</v>
      </c>
      <c r="D41" s="19">
        <f t="shared" si="0"/>
        <v>0</v>
      </c>
      <c r="E41" s="19">
        <f>SUMIF('C1'!$B$6:$B$2228,B41,'C1'!$D$6:$D$2228)</f>
        <v>0</v>
      </c>
      <c r="F41" s="19">
        <f>SUMIF('C2'!$B$6:$B$2228,B41,'C2'!$D$6:$D$2228)</f>
        <v>0</v>
      </c>
      <c r="G41" s="19">
        <f>SUMIF('C3'!$B$6:$B$2228,B41,'C3'!$D$6:$D$2228)</f>
        <v>0</v>
      </c>
      <c r="H41" s="22"/>
      <c r="I41" s="22"/>
      <c r="J41" s="4" t="s">
        <v>51</v>
      </c>
      <c r="K41" s="4" t="s">
        <v>52</v>
      </c>
    </row>
    <row r="42" spans="2:11">
      <c r="B42" s="1">
        <v>43</v>
      </c>
      <c r="C42" s="4" t="s">
        <v>53</v>
      </c>
      <c r="D42" s="19">
        <f t="shared" si="0"/>
        <v>0</v>
      </c>
      <c r="E42" s="19">
        <f>SUMIF('C1'!$B$6:$B$2228,B42,'C1'!$D$6:$D$2228)</f>
        <v>0</v>
      </c>
      <c r="F42" s="19">
        <f>SUMIF('C2'!$B$6:$B$2228,B42,'C2'!$D$6:$D$2228)</f>
        <v>0</v>
      </c>
      <c r="G42" s="19">
        <f>SUMIF('C3'!$B$6:$B$2228,B42,'C3'!$D$6:$D$2228)</f>
        <v>0</v>
      </c>
      <c r="H42" s="22"/>
      <c r="I42" s="22"/>
      <c r="J42" s="4" t="s">
        <v>51</v>
      </c>
      <c r="K42" s="4" t="s">
        <v>52</v>
      </c>
    </row>
    <row r="43" spans="2:11">
      <c r="B43" s="1">
        <v>44</v>
      </c>
      <c r="C43" s="4" t="s">
        <v>54</v>
      </c>
      <c r="D43" s="19">
        <f t="shared" si="0"/>
        <v>0</v>
      </c>
      <c r="E43" s="19">
        <f>SUMIF('C1'!$B$6:$B$2228,B43,'C1'!$D$6:$D$2228)</f>
        <v>0</v>
      </c>
      <c r="F43" s="19">
        <f>SUMIF('C2'!$B$6:$B$2228,B43,'C2'!$D$6:$D$2228)</f>
        <v>0</v>
      </c>
      <c r="G43" s="19">
        <f>SUMIF('C3'!$B$6:$B$2228,B43,'C3'!$D$6:$D$2228)</f>
        <v>0</v>
      </c>
      <c r="H43" s="22"/>
      <c r="I43" s="22"/>
      <c r="J43" s="4" t="s">
        <v>51</v>
      </c>
      <c r="K43" s="4" t="s">
        <v>52</v>
      </c>
    </row>
    <row r="44" spans="2:11">
      <c r="B44" s="1">
        <v>45</v>
      </c>
      <c r="C44" s="4" t="s">
        <v>55</v>
      </c>
      <c r="D44" s="19">
        <f t="shared" si="0"/>
        <v>0</v>
      </c>
      <c r="E44" s="19">
        <f>SUMIF('C1'!$B$6:$B$2228,B44,'C1'!$D$6:$D$2228)</f>
        <v>0</v>
      </c>
      <c r="F44" s="19">
        <f>SUMIF('C2'!$B$6:$B$2228,B44,'C2'!$D$6:$D$2228)</f>
        <v>0</v>
      </c>
      <c r="G44" s="19">
        <f>SUMIF('C3'!$B$6:$B$2228,B44,'C3'!$D$6:$D$2228)</f>
        <v>0</v>
      </c>
      <c r="H44" s="22"/>
      <c r="I44" s="22"/>
      <c r="J44" s="4" t="s">
        <v>51</v>
      </c>
      <c r="K44" s="4" t="s">
        <v>52</v>
      </c>
    </row>
    <row r="45" spans="2:11">
      <c r="B45" s="1">
        <v>46</v>
      </c>
      <c r="C45" s="4" t="s">
        <v>56</v>
      </c>
      <c r="D45" s="19">
        <f t="shared" si="0"/>
        <v>0</v>
      </c>
      <c r="E45" s="19">
        <f>SUMIF('C1'!$B$6:$B$2228,B45,'C1'!$D$6:$D$2228)</f>
        <v>0</v>
      </c>
      <c r="F45" s="19">
        <f>SUMIF('C2'!$B$6:$B$2228,B45,'C2'!$D$6:$D$2228)</f>
        <v>0</v>
      </c>
      <c r="G45" s="19">
        <f>SUMIF('C3'!$B$6:$B$2228,B45,'C3'!$D$6:$D$2228)</f>
        <v>0</v>
      </c>
      <c r="H45" s="22"/>
      <c r="I45" s="22"/>
      <c r="J45" s="4" t="s">
        <v>51</v>
      </c>
      <c r="K45" s="4" t="s">
        <v>52</v>
      </c>
    </row>
    <row r="46" spans="2:11">
      <c r="B46" s="1">
        <v>47</v>
      </c>
      <c r="C46" s="4" t="s">
        <v>57</v>
      </c>
      <c r="D46" s="19">
        <f t="shared" si="0"/>
        <v>0</v>
      </c>
      <c r="E46" s="19">
        <f>SUMIF('C1'!$B$6:$B$2228,B46,'C1'!$D$6:$D$2228)</f>
        <v>0</v>
      </c>
      <c r="F46" s="19">
        <f>SUMIF('C2'!$B$6:$B$2228,B46,'C2'!$D$6:$D$2228)</f>
        <v>0</v>
      </c>
      <c r="G46" s="19">
        <f>SUMIF('C3'!$B$6:$B$2228,B46,'C3'!$D$6:$D$2228)</f>
        <v>0</v>
      </c>
      <c r="H46" s="22"/>
      <c r="I46" s="22"/>
      <c r="J46" s="4" t="s">
        <v>51</v>
      </c>
      <c r="K46" s="4" t="s">
        <v>52</v>
      </c>
    </row>
    <row r="47" spans="2:11">
      <c r="B47" s="1">
        <v>48</v>
      </c>
      <c r="C47" s="4" t="s">
        <v>58</v>
      </c>
      <c r="D47" s="19">
        <f t="shared" si="0"/>
        <v>0</v>
      </c>
      <c r="E47" s="19">
        <f>SUMIF('C1'!$B$6:$B$2228,B47,'C1'!$D$6:$D$2228)</f>
        <v>0</v>
      </c>
      <c r="F47" s="19">
        <f>SUMIF('C2'!$B$6:$B$2228,B47,'C2'!$D$6:$D$2228)</f>
        <v>0</v>
      </c>
      <c r="G47" s="19">
        <f>SUMIF('C3'!$B$6:$B$2228,B47,'C3'!$D$6:$D$2228)</f>
        <v>0</v>
      </c>
      <c r="H47" s="22"/>
      <c r="I47" s="22"/>
      <c r="J47" s="4" t="s">
        <v>51</v>
      </c>
      <c r="K47" s="4" t="s">
        <v>52</v>
      </c>
    </row>
    <row r="48" spans="2:11">
      <c r="B48" s="1">
        <v>49</v>
      </c>
      <c r="C48" s="4" t="s">
        <v>59</v>
      </c>
      <c r="D48" s="19">
        <f t="shared" si="0"/>
        <v>0</v>
      </c>
      <c r="E48" s="19">
        <f>SUMIF('C1'!$B$6:$B$2228,B48,'C1'!$D$6:$D$2228)</f>
        <v>0</v>
      </c>
      <c r="F48" s="19">
        <f>SUMIF('C2'!$B$6:$B$2228,B48,'C2'!$D$6:$D$2228)</f>
        <v>0</v>
      </c>
      <c r="G48" s="19">
        <f>SUMIF('C3'!$B$6:$B$2228,B48,'C3'!$D$6:$D$2228)</f>
        <v>0</v>
      </c>
      <c r="H48" s="22"/>
      <c r="I48" s="22"/>
      <c r="J48" s="4" t="s">
        <v>51</v>
      </c>
      <c r="K48" s="4" t="s">
        <v>52</v>
      </c>
    </row>
    <row r="49" spans="2:11">
      <c r="B49" s="1">
        <v>50</v>
      </c>
      <c r="C49" s="4" t="s">
        <v>60</v>
      </c>
      <c r="D49" s="19">
        <f t="shared" si="0"/>
        <v>0</v>
      </c>
      <c r="E49" s="19">
        <f>SUMIF('C1'!$B$6:$B$2228,B49,'C1'!$D$6:$D$2228)</f>
        <v>0</v>
      </c>
      <c r="F49" s="19">
        <f>SUMIF('C2'!$B$6:$B$2228,B49,'C2'!$D$6:$D$2228)</f>
        <v>0</v>
      </c>
      <c r="G49" s="19">
        <f>SUMIF('C3'!$B$6:$B$2228,B49,'C3'!$D$6:$D$2228)</f>
        <v>0</v>
      </c>
      <c r="H49" s="22"/>
      <c r="I49" s="22"/>
      <c r="J49" s="4" t="s">
        <v>51</v>
      </c>
      <c r="K49" s="4" t="s">
        <v>52</v>
      </c>
    </row>
    <row r="50" spans="2:11">
      <c r="B50" s="1">
        <v>51</v>
      </c>
      <c r="C50" s="4" t="s">
        <v>61</v>
      </c>
      <c r="D50" s="19">
        <f t="shared" si="0"/>
        <v>0</v>
      </c>
      <c r="E50" s="19">
        <f>SUMIF('C1'!$B$6:$B$2228,B50,'C1'!$D$6:$D$2228)</f>
        <v>0</v>
      </c>
      <c r="F50" s="19">
        <f>SUMIF('C2'!$B$6:$B$2228,B50,'C2'!$D$6:$D$2228)</f>
        <v>0</v>
      </c>
      <c r="G50" s="19">
        <f>SUMIF('C3'!$B$6:$B$2228,B50,'C3'!$D$6:$D$2228)</f>
        <v>0</v>
      </c>
      <c r="H50" s="22"/>
      <c r="I50" s="22"/>
      <c r="J50" s="4" t="s">
        <v>51</v>
      </c>
      <c r="K50" s="4" t="s">
        <v>52</v>
      </c>
    </row>
    <row r="51" spans="2:11">
      <c r="B51" s="1">
        <v>52</v>
      </c>
      <c r="C51" s="4" t="s">
        <v>62</v>
      </c>
      <c r="D51" s="19">
        <f t="shared" si="0"/>
        <v>0</v>
      </c>
      <c r="E51" s="19">
        <f>SUMIF('C1'!$B$6:$B$2228,B51,'C1'!$D$6:$D$2228)</f>
        <v>0</v>
      </c>
      <c r="F51" s="19">
        <f>SUMIF('C2'!$B$6:$B$2228,B51,'C2'!$D$6:$D$2228)</f>
        <v>0</v>
      </c>
      <c r="G51" s="19">
        <f>SUMIF('C3'!$B$6:$B$2228,B51,'C3'!$D$6:$D$2228)</f>
        <v>0</v>
      </c>
      <c r="H51" s="22"/>
      <c r="I51" s="22"/>
      <c r="J51" s="4" t="s">
        <v>51</v>
      </c>
      <c r="K51" s="4" t="s">
        <v>52</v>
      </c>
    </row>
    <row r="52" spans="2:11">
      <c r="B52" s="1">
        <v>53</v>
      </c>
      <c r="C52" s="4" t="s">
        <v>63</v>
      </c>
      <c r="D52" s="19">
        <f t="shared" si="0"/>
        <v>0</v>
      </c>
      <c r="E52" s="19">
        <f>SUMIF('C1'!$B$6:$B$2228,B52,'C1'!$D$6:$D$2228)</f>
        <v>0</v>
      </c>
      <c r="F52" s="19">
        <f>SUMIF('C2'!$B$6:$B$2228,B52,'C2'!$D$6:$D$2228)</f>
        <v>0</v>
      </c>
      <c r="G52" s="19">
        <f>SUMIF('C3'!$B$6:$B$2228,B52,'C3'!$D$6:$D$2228)</f>
        <v>0</v>
      </c>
      <c r="H52" s="22"/>
      <c r="I52" s="22"/>
      <c r="J52" s="4" t="s">
        <v>51</v>
      </c>
      <c r="K52" s="4" t="s">
        <v>52</v>
      </c>
    </row>
    <row r="53" spans="2:11">
      <c r="B53" s="1">
        <v>54</v>
      </c>
      <c r="C53" s="4" t="s">
        <v>64</v>
      </c>
      <c r="D53" s="19">
        <f t="shared" si="0"/>
        <v>0</v>
      </c>
      <c r="E53" s="19">
        <f>SUMIF('C1'!$B$6:$B$2228,B53,'C1'!$D$6:$D$2228)</f>
        <v>0</v>
      </c>
      <c r="F53" s="19">
        <f>SUMIF('C2'!$B$6:$B$2228,B53,'C2'!$D$6:$D$2228)</f>
        <v>0</v>
      </c>
      <c r="G53" s="19">
        <f>SUMIF('C3'!$B$6:$B$2228,B53,'C3'!$D$6:$D$2228)</f>
        <v>0</v>
      </c>
      <c r="H53" s="22"/>
      <c r="I53" s="22"/>
      <c r="J53" s="4" t="s">
        <v>51</v>
      </c>
      <c r="K53" s="4" t="s">
        <v>52</v>
      </c>
    </row>
    <row r="54" spans="2:11">
      <c r="B54" s="1">
        <v>55</v>
      </c>
      <c r="C54" s="4" t="s">
        <v>65</v>
      </c>
      <c r="D54" s="19">
        <f t="shared" si="0"/>
        <v>0</v>
      </c>
      <c r="E54" s="19">
        <f>SUMIF('C1'!$B$6:$B$2228,B54,'C1'!$D$6:$D$2228)</f>
        <v>0</v>
      </c>
      <c r="F54" s="19">
        <f>SUMIF('C2'!$B$6:$B$2228,B54,'C2'!$D$6:$D$2228)</f>
        <v>0</v>
      </c>
      <c r="G54" s="19">
        <f>SUMIF('C3'!$B$6:$B$2228,B54,'C3'!$D$6:$D$2228)</f>
        <v>0</v>
      </c>
      <c r="H54" s="22"/>
      <c r="I54" s="22"/>
      <c r="J54" s="4" t="s">
        <v>51</v>
      </c>
      <c r="K54" s="4" t="s">
        <v>52</v>
      </c>
    </row>
    <row r="55" spans="2:11">
      <c r="B55" s="1">
        <v>56</v>
      </c>
      <c r="C55" s="4" t="s">
        <v>66</v>
      </c>
      <c r="D55" s="19">
        <f t="shared" si="0"/>
        <v>0</v>
      </c>
      <c r="E55" s="19">
        <f>SUMIF('C1'!$B$6:$B$2228,B55,'C1'!$D$6:$D$2228)</f>
        <v>0</v>
      </c>
      <c r="F55" s="19">
        <f>SUMIF('C2'!$B$6:$B$2228,B55,'C2'!$D$6:$D$2228)</f>
        <v>0</v>
      </c>
      <c r="G55" s="19">
        <f>SUMIF('C3'!$B$6:$B$2228,B55,'C3'!$D$6:$D$2228)</f>
        <v>0</v>
      </c>
      <c r="H55" s="22"/>
      <c r="I55" s="22"/>
      <c r="J55" s="4" t="s">
        <v>51</v>
      </c>
      <c r="K55" s="4" t="s">
        <v>52</v>
      </c>
    </row>
    <row r="56" spans="2:11">
      <c r="B56" s="1">
        <v>57</v>
      </c>
      <c r="C56" s="4" t="s">
        <v>67</v>
      </c>
      <c r="D56" s="19">
        <f t="shared" si="0"/>
        <v>0</v>
      </c>
      <c r="E56" s="19">
        <f>SUMIF('C1'!$B$6:$B$2228,B56,'C1'!$D$6:$D$2228)</f>
        <v>0</v>
      </c>
      <c r="F56" s="19">
        <f>SUMIF('C2'!$B$6:$B$2228,B56,'C2'!$D$6:$D$2228)</f>
        <v>0</v>
      </c>
      <c r="G56" s="19">
        <f>SUMIF('C3'!$B$6:$B$2228,B56,'C3'!$D$6:$D$2228)</f>
        <v>0</v>
      </c>
      <c r="H56" s="22"/>
      <c r="I56" s="22"/>
      <c r="J56" s="4" t="s">
        <v>51</v>
      </c>
      <c r="K56" s="4" t="s">
        <v>52</v>
      </c>
    </row>
    <row r="57" spans="2:11">
      <c r="B57" s="1">
        <v>58</v>
      </c>
      <c r="C57" s="4" t="s">
        <v>68</v>
      </c>
      <c r="D57" s="19">
        <f t="shared" si="0"/>
        <v>0</v>
      </c>
      <c r="E57" s="19">
        <f>SUMIF('C1'!$B$6:$B$2228,B57,'C1'!$D$6:$D$2228)</f>
        <v>0</v>
      </c>
      <c r="F57" s="19">
        <f>SUMIF('C2'!$B$6:$B$2228,B57,'C2'!$D$6:$D$2228)</f>
        <v>0</v>
      </c>
      <c r="G57" s="19">
        <f>SUMIF('C3'!$B$6:$B$2228,B57,'C3'!$D$6:$D$2228)</f>
        <v>0</v>
      </c>
      <c r="H57" s="22"/>
      <c r="I57" s="22"/>
      <c r="J57" s="4" t="s">
        <v>51</v>
      </c>
      <c r="K57" s="4" t="s">
        <v>52</v>
      </c>
    </row>
    <row r="58" spans="2:11">
      <c r="B58" s="1">
        <v>59</v>
      </c>
      <c r="C58" s="4" t="s">
        <v>69</v>
      </c>
      <c r="D58" s="19">
        <f t="shared" si="0"/>
        <v>0</v>
      </c>
      <c r="E58" s="19">
        <f>SUMIF('C1'!$B$6:$B$2228,B58,'C1'!$D$6:$D$2228)</f>
        <v>0</v>
      </c>
      <c r="F58" s="19">
        <f>SUMIF('C2'!$B$6:$B$2228,B58,'C2'!$D$6:$D$2228)</f>
        <v>0</v>
      </c>
      <c r="G58" s="19">
        <f>SUMIF('C3'!$B$6:$B$2228,B58,'C3'!$D$6:$D$2228)</f>
        <v>0</v>
      </c>
      <c r="H58" s="22"/>
      <c r="I58" s="22"/>
      <c r="J58" s="4" t="s">
        <v>51</v>
      </c>
      <c r="K58" s="4" t="s">
        <v>52</v>
      </c>
    </row>
    <row r="59" spans="2:11">
      <c r="B59" s="1">
        <v>61</v>
      </c>
      <c r="C59" s="4" t="s">
        <v>70</v>
      </c>
      <c r="D59" s="19">
        <f t="shared" si="0"/>
        <v>0</v>
      </c>
      <c r="E59" s="19">
        <f>SUMIF('C1'!$B$6:$B$2228,B59,'C1'!$D$6:$D$2228)</f>
        <v>0</v>
      </c>
      <c r="F59" s="19">
        <f>SUMIF('C2'!$B$6:$B$2228,B59,'C2'!$D$6:$D$2228)</f>
        <v>0</v>
      </c>
      <c r="G59" s="19">
        <f>SUMIF('C3'!$B$6:$B$2228,B59,'C3'!$D$6:$D$2228)</f>
        <v>0</v>
      </c>
      <c r="H59" s="22"/>
      <c r="I59" s="22"/>
      <c r="J59" s="4" t="s">
        <v>51</v>
      </c>
      <c r="K59" s="4" t="s">
        <v>52</v>
      </c>
    </row>
    <row r="60" spans="2:11">
      <c r="B60" s="1">
        <v>62</v>
      </c>
      <c r="C60" s="4" t="s">
        <v>71</v>
      </c>
      <c r="D60" s="19">
        <f t="shared" si="0"/>
        <v>0</v>
      </c>
      <c r="E60" s="19">
        <f>SUMIF('C1'!$B$6:$B$2228,B60,'C1'!$D$6:$D$2228)</f>
        <v>0</v>
      </c>
      <c r="F60" s="19">
        <f>SUMIF('C2'!$B$6:$B$2228,B60,'C2'!$D$6:$D$2228)</f>
        <v>0</v>
      </c>
      <c r="G60" s="19">
        <f>SUMIF('C3'!$B$6:$B$2228,B60,'C3'!$D$6:$D$2228)</f>
        <v>0</v>
      </c>
      <c r="H60" s="22"/>
      <c r="I60" s="22"/>
      <c r="J60" s="4" t="s">
        <v>51</v>
      </c>
      <c r="K60" s="4" t="s">
        <v>52</v>
      </c>
    </row>
    <row r="61" spans="2:11">
      <c r="B61" s="1">
        <v>63</v>
      </c>
      <c r="C61" s="4" t="s">
        <v>72</v>
      </c>
      <c r="D61" s="19">
        <f t="shared" si="0"/>
        <v>0</v>
      </c>
      <c r="E61" s="19">
        <f>SUMIF('C1'!$B$6:$B$2228,B61,'C1'!$D$6:$D$2228)</f>
        <v>0</v>
      </c>
      <c r="F61" s="19">
        <f>SUMIF('C2'!$B$6:$B$2228,B61,'C2'!$D$6:$D$2228)</f>
        <v>0</v>
      </c>
      <c r="G61" s="19">
        <f>SUMIF('C3'!$B$6:$B$2228,B61,'C3'!$D$6:$D$2228)</f>
        <v>0</v>
      </c>
      <c r="H61" s="22"/>
      <c r="I61" s="22"/>
      <c r="J61" s="4" t="s">
        <v>51</v>
      </c>
      <c r="K61" s="4" t="s">
        <v>52</v>
      </c>
    </row>
    <row r="62" spans="2:11">
      <c r="B62" s="1">
        <v>64</v>
      </c>
      <c r="C62" s="4" t="s">
        <v>73</v>
      </c>
      <c r="D62" s="19">
        <f t="shared" si="0"/>
        <v>0</v>
      </c>
      <c r="E62" s="19">
        <f>SUMIF('C1'!$B$6:$B$2228,B62,'C1'!$D$6:$D$2228)</f>
        <v>0</v>
      </c>
      <c r="F62" s="19">
        <f>SUMIF('C2'!$B$6:$B$2228,B62,'C2'!$D$6:$D$2228)</f>
        <v>0</v>
      </c>
      <c r="G62" s="19">
        <f>SUMIF('C3'!$B$6:$B$2228,B62,'C3'!$D$6:$D$2228)</f>
        <v>0</v>
      </c>
      <c r="H62" s="22"/>
      <c r="I62" s="22"/>
      <c r="J62" s="4" t="s">
        <v>51</v>
      </c>
      <c r="K62" s="4" t="s">
        <v>52</v>
      </c>
    </row>
    <row r="63" spans="2:11">
      <c r="B63" s="1">
        <v>65</v>
      </c>
      <c r="C63" s="4" t="s">
        <v>74</v>
      </c>
      <c r="D63" s="19">
        <f t="shared" si="0"/>
        <v>0</v>
      </c>
      <c r="E63" s="19">
        <f>SUMIF('C1'!$B$6:$B$2228,B63,'C1'!$D$6:$D$2228)</f>
        <v>0</v>
      </c>
      <c r="F63" s="19">
        <f>SUMIF('C2'!$B$6:$B$2228,B63,'C2'!$D$6:$D$2228)</f>
        <v>0</v>
      </c>
      <c r="G63" s="19">
        <f>SUMIF('C3'!$B$6:$B$2228,B63,'C3'!$D$6:$D$2228)</f>
        <v>0</v>
      </c>
      <c r="H63" s="22"/>
      <c r="I63" s="22"/>
      <c r="J63" s="4" t="s">
        <v>51</v>
      </c>
      <c r="K63" s="4" t="s">
        <v>52</v>
      </c>
    </row>
    <row r="64" spans="2:11">
      <c r="B64" s="1">
        <v>66</v>
      </c>
      <c r="C64" s="4" t="s">
        <v>75</v>
      </c>
      <c r="D64" s="19">
        <f t="shared" si="0"/>
        <v>0</v>
      </c>
      <c r="E64" s="19">
        <f>SUMIF('C1'!$B$6:$B$2228,B64,'C1'!$D$6:$D$2228)</f>
        <v>0</v>
      </c>
      <c r="F64" s="19">
        <f>SUMIF('C2'!$B$6:$B$2228,B64,'C2'!$D$6:$D$2228)</f>
        <v>0</v>
      </c>
      <c r="G64" s="19">
        <f>SUMIF('C3'!$B$6:$B$2228,B64,'C3'!$D$6:$D$2228)</f>
        <v>0</v>
      </c>
      <c r="H64" s="22"/>
      <c r="I64" s="22"/>
      <c r="J64" s="4" t="s">
        <v>51</v>
      </c>
      <c r="K64" s="4" t="s">
        <v>52</v>
      </c>
    </row>
    <row r="65" spans="2:11">
      <c r="B65" s="1">
        <v>67</v>
      </c>
      <c r="C65" s="4" t="s">
        <v>76</v>
      </c>
      <c r="D65" s="19">
        <f t="shared" si="0"/>
        <v>0</v>
      </c>
      <c r="E65" s="19">
        <f>SUMIF('C1'!$B$6:$B$2228,B65,'C1'!$D$6:$D$2228)</f>
        <v>0</v>
      </c>
      <c r="F65" s="19">
        <f>SUMIF('C2'!$B$6:$B$2228,B65,'C2'!$D$6:$D$2228)</f>
        <v>0</v>
      </c>
      <c r="G65" s="19">
        <f>SUMIF('C3'!$B$6:$B$2228,B65,'C3'!$D$6:$D$2228)</f>
        <v>0</v>
      </c>
      <c r="H65" s="22"/>
      <c r="I65" s="22"/>
      <c r="J65" s="4" t="s">
        <v>51</v>
      </c>
      <c r="K65" s="4" t="s">
        <v>52</v>
      </c>
    </row>
    <row r="66" spans="2:11">
      <c r="B66" s="1">
        <v>68</v>
      </c>
      <c r="C66" s="4" t="s">
        <v>77</v>
      </c>
      <c r="D66" s="19">
        <f t="shared" si="0"/>
        <v>0</v>
      </c>
      <c r="E66" s="19">
        <f>SUMIF('C1'!$B$6:$B$2228,B66,'C1'!$D$6:$D$2228)</f>
        <v>0</v>
      </c>
      <c r="F66" s="19">
        <f>SUMIF('C2'!$B$6:$B$2228,B66,'C2'!$D$6:$D$2228)</f>
        <v>0</v>
      </c>
      <c r="G66" s="19">
        <f>SUMIF('C3'!$B$6:$B$2228,B66,'C3'!$D$6:$D$2228)</f>
        <v>0</v>
      </c>
      <c r="H66" s="22"/>
      <c r="I66" s="22"/>
      <c r="J66" s="4" t="s">
        <v>51</v>
      </c>
      <c r="K66" s="4" t="s">
        <v>52</v>
      </c>
    </row>
    <row r="67" spans="2:11">
      <c r="B67" s="1">
        <v>69</v>
      </c>
      <c r="C67" s="4" t="s">
        <v>78</v>
      </c>
      <c r="D67" s="19">
        <f t="shared" si="0"/>
        <v>0</v>
      </c>
      <c r="E67" s="19">
        <f>SUMIF('C1'!$B$6:$B$2228,B67,'C1'!$D$6:$D$2228)</f>
        <v>0</v>
      </c>
      <c r="F67" s="19">
        <f>SUMIF('C2'!$B$6:$B$2228,B67,'C2'!$D$6:$D$2228)</f>
        <v>0</v>
      </c>
      <c r="G67" s="19">
        <f>SUMIF('C3'!$B$6:$B$2228,B67,'C3'!$D$6:$D$2228)</f>
        <v>0</v>
      </c>
      <c r="H67" s="22"/>
      <c r="I67" s="22"/>
      <c r="J67" s="4" t="s">
        <v>51</v>
      </c>
      <c r="K67" s="4" t="s">
        <v>52</v>
      </c>
    </row>
    <row r="68" spans="2:11">
      <c r="B68" s="1">
        <v>70</v>
      </c>
      <c r="C68" s="4" t="s">
        <v>79</v>
      </c>
      <c r="D68" s="19">
        <f t="shared" si="0"/>
        <v>0</v>
      </c>
      <c r="E68" s="19">
        <f>SUMIF('C1'!$B$6:$B$2228,B68,'C1'!$D$6:$D$2228)</f>
        <v>0</v>
      </c>
      <c r="F68" s="19">
        <f>SUMIF('C2'!$B$6:$B$2228,B68,'C2'!$D$6:$D$2228)</f>
        <v>0</v>
      </c>
      <c r="G68" s="19">
        <f>SUMIF('C3'!$B$6:$B$2228,B68,'C3'!$D$6:$D$2228)</f>
        <v>0</v>
      </c>
      <c r="H68" s="22"/>
      <c r="I68" s="22"/>
      <c r="J68" s="4" t="s">
        <v>51</v>
      </c>
      <c r="K68" s="4" t="s">
        <v>52</v>
      </c>
    </row>
    <row r="69" spans="2:11">
      <c r="B69" s="1">
        <v>71</v>
      </c>
      <c r="C69" s="4" t="s">
        <v>80</v>
      </c>
      <c r="D69" s="19">
        <f t="shared" si="0"/>
        <v>0</v>
      </c>
      <c r="E69" s="19">
        <f>SUMIF('C1'!$B$6:$B$2228,B69,'C1'!$D$6:$D$2228)</f>
        <v>0</v>
      </c>
      <c r="F69" s="19">
        <f>SUMIF('C2'!$B$6:$B$2228,B69,'C2'!$D$6:$D$2228)</f>
        <v>0</v>
      </c>
      <c r="G69" s="19">
        <f>SUMIF('C3'!$B$6:$B$2228,B69,'C3'!$D$6:$D$2228)</f>
        <v>0</v>
      </c>
      <c r="H69" s="22"/>
      <c r="I69" s="22"/>
      <c r="J69" s="4" t="s">
        <v>51</v>
      </c>
      <c r="K69" s="4" t="s">
        <v>52</v>
      </c>
    </row>
    <row r="70" spans="2:11">
      <c r="B70" s="1">
        <v>72</v>
      </c>
      <c r="C70" s="4" t="s">
        <v>81</v>
      </c>
      <c r="D70" s="19">
        <f t="shared" si="0"/>
        <v>0</v>
      </c>
      <c r="E70" s="19">
        <f>SUMIF('C1'!$B$6:$B$2228,B70,'C1'!$D$6:$D$2228)</f>
        <v>0</v>
      </c>
      <c r="F70" s="19">
        <f>SUMIF('C2'!$B$6:$B$2228,B70,'C2'!$D$6:$D$2228)</f>
        <v>0</v>
      </c>
      <c r="G70" s="19">
        <f>SUMIF('C3'!$B$6:$B$2228,B70,'C3'!$D$6:$D$2228)</f>
        <v>0</v>
      </c>
      <c r="H70" s="22"/>
      <c r="I70" s="22"/>
      <c r="J70" s="4" t="s">
        <v>51</v>
      </c>
      <c r="K70" s="4" t="s">
        <v>52</v>
      </c>
    </row>
    <row r="71" spans="2:11">
      <c r="B71" s="1">
        <v>73</v>
      </c>
      <c r="C71" s="4" t="s">
        <v>82</v>
      </c>
      <c r="D71" s="19">
        <f t="shared" ref="D71:D134" si="1">SUM(E71:I71)</f>
        <v>0</v>
      </c>
      <c r="E71" s="19">
        <f>SUMIF('C1'!$B$6:$B$2228,B71,'C1'!$D$6:$D$2228)</f>
        <v>0</v>
      </c>
      <c r="F71" s="19">
        <f>SUMIF('C2'!$B$6:$B$2228,B71,'C2'!$D$6:$D$2228)</f>
        <v>0</v>
      </c>
      <c r="G71" s="19">
        <f>SUMIF('C3'!$B$6:$B$2228,B71,'C3'!$D$6:$D$2228)</f>
        <v>0</v>
      </c>
      <c r="H71" s="22"/>
      <c r="I71" s="22"/>
      <c r="J71" s="4" t="s">
        <v>51</v>
      </c>
      <c r="K71" s="4" t="s">
        <v>52</v>
      </c>
    </row>
    <row r="72" spans="2:11">
      <c r="B72" s="1">
        <v>74</v>
      </c>
      <c r="C72" s="4" t="s">
        <v>83</v>
      </c>
      <c r="D72" s="19">
        <f t="shared" si="1"/>
        <v>0</v>
      </c>
      <c r="E72" s="19">
        <f>SUMIF('C1'!$B$6:$B$2228,B72,'C1'!$D$6:$D$2228)</f>
        <v>0</v>
      </c>
      <c r="F72" s="19">
        <f>SUMIF('C2'!$B$6:$B$2228,B72,'C2'!$D$6:$D$2228)</f>
        <v>0</v>
      </c>
      <c r="G72" s="19">
        <f>SUMIF('C3'!$B$6:$B$2228,B72,'C3'!$D$6:$D$2228)</f>
        <v>0</v>
      </c>
      <c r="H72" s="22"/>
      <c r="I72" s="22"/>
      <c r="J72" s="4" t="s">
        <v>51</v>
      </c>
      <c r="K72" s="4" t="s">
        <v>52</v>
      </c>
    </row>
    <row r="73" spans="2:11">
      <c r="B73" s="1">
        <v>75</v>
      </c>
      <c r="C73" s="4" t="s">
        <v>84</v>
      </c>
      <c r="D73" s="19">
        <f t="shared" si="1"/>
        <v>0</v>
      </c>
      <c r="E73" s="19">
        <f>SUMIF('C1'!$B$6:$B$2228,B73,'C1'!$D$6:$D$2228)</f>
        <v>0</v>
      </c>
      <c r="F73" s="19">
        <f>SUMIF('C2'!$B$6:$B$2228,B73,'C2'!$D$6:$D$2228)</f>
        <v>0</v>
      </c>
      <c r="G73" s="19">
        <f>SUMIF('C3'!$B$6:$B$2228,B73,'C3'!$D$6:$D$2228)</f>
        <v>0</v>
      </c>
      <c r="H73" s="22"/>
      <c r="I73" s="22"/>
      <c r="J73" s="4" t="s">
        <v>51</v>
      </c>
      <c r="K73" s="4" t="s">
        <v>52</v>
      </c>
    </row>
    <row r="74" spans="2:11">
      <c r="B74" s="1">
        <v>76</v>
      </c>
      <c r="C74" s="4" t="s">
        <v>85</v>
      </c>
      <c r="D74" s="19">
        <f t="shared" si="1"/>
        <v>0</v>
      </c>
      <c r="E74" s="19">
        <f>SUMIF('C1'!$B$6:$B$2228,B74,'C1'!$D$6:$D$2228)</f>
        <v>0</v>
      </c>
      <c r="F74" s="19">
        <f>SUMIF('C2'!$B$6:$B$2228,B74,'C2'!$D$6:$D$2228)</f>
        <v>0</v>
      </c>
      <c r="G74" s="19">
        <f>SUMIF('C3'!$B$6:$B$2228,B74,'C3'!$D$6:$D$2228)</f>
        <v>0</v>
      </c>
      <c r="H74" s="22"/>
      <c r="I74" s="22"/>
      <c r="J74" s="4" t="s">
        <v>51</v>
      </c>
      <c r="K74" s="4" t="s">
        <v>52</v>
      </c>
    </row>
    <row r="75" spans="2:11">
      <c r="B75" s="1">
        <v>77</v>
      </c>
      <c r="C75" s="4" t="s">
        <v>86</v>
      </c>
      <c r="D75" s="19">
        <f t="shared" si="1"/>
        <v>0</v>
      </c>
      <c r="E75" s="19">
        <f>SUMIF('C1'!$B$6:$B$2228,B75,'C1'!$D$6:$D$2228)</f>
        <v>0</v>
      </c>
      <c r="F75" s="19">
        <f>SUMIF('C2'!$B$6:$B$2228,B75,'C2'!$D$6:$D$2228)</f>
        <v>0</v>
      </c>
      <c r="G75" s="19">
        <f>SUMIF('C3'!$B$6:$B$2228,B75,'C3'!$D$6:$D$2228)</f>
        <v>0</v>
      </c>
      <c r="H75" s="22"/>
      <c r="I75" s="22"/>
      <c r="J75" s="4" t="s">
        <v>51</v>
      </c>
      <c r="K75" s="4" t="s">
        <v>52</v>
      </c>
    </row>
    <row r="76" spans="2:11">
      <c r="B76" s="1">
        <v>78</v>
      </c>
      <c r="C76" s="4" t="s">
        <v>87</v>
      </c>
      <c r="D76" s="19">
        <f t="shared" si="1"/>
        <v>0</v>
      </c>
      <c r="E76" s="19">
        <f>SUMIF('C1'!$B$6:$B$2228,B76,'C1'!$D$6:$D$2228)</f>
        <v>0</v>
      </c>
      <c r="F76" s="19">
        <f>SUMIF('C2'!$B$6:$B$2228,B76,'C2'!$D$6:$D$2228)</f>
        <v>0</v>
      </c>
      <c r="G76" s="19">
        <f>SUMIF('C3'!$B$6:$B$2228,B76,'C3'!$D$6:$D$2228)</f>
        <v>0</v>
      </c>
      <c r="H76" s="22"/>
      <c r="I76" s="22"/>
      <c r="J76" s="4" t="s">
        <v>12</v>
      </c>
      <c r="K76" s="4" t="s">
        <v>88</v>
      </c>
    </row>
    <row r="77" spans="2:11">
      <c r="B77" s="1">
        <v>79</v>
      </c>
      <c r="C77" s="4" t="s">
        <v>89</v>
      </c>
      <c r="D77" s="19">
        <f t="shared" si="1"/>
        <v>0</v>
      </c>
      <c r="E77" s="19">
        <f>SUMIF('C1'!$B$6:$B$2228,B77,'C1'!$D$6:$D$2228)</f>
        <v>0</v>
      </c>
      <c r="F77" s="19">
        <f>SUMIF('C2'!$B$6:$B$2228,B77,'C2'!$D$6:$D$2228)</f>
        <v>0</v>
      </c>
      <c r="G77" s="19">
        <f>SUMIF('C3'!$B$6:$B$2228,B77,'C3'!$D$6:$D$2228)</f>
        <v>0</v>
      </c>
      <c r="H77" s="22"/>
      <c r="I77" s="22"/>
      <c r="J77" s="4" t="s">
        <v>12</v>
      </c>
      <c r="K77" s="4" t="s">
        <v>88</v>
      </c>
    </row>
    <row r="78" spans="2:11">
      <c r="B78" s="1">
        <v>80</v>
      </c>
      <c r="C78" s="4" t="s">
        <v>90</v>
      </c>
      <c r="D78" s="19">
        <f t="shared" si="1"/>
        <v>0</v>
      </c>
      <c r="E78" s="19">
        <f>SUMIF('C1'!$B$6:$B$2228,B78,'C1'!$D$6:$D$2228)</f>
        <v>0</v>
      </c>
      <c r="F78" s="19">
        <f>SUMIF('C2'!$B$6:$B$2228,B78,'C2'!$D$6:$D$2228)</f>
        <v>0</v>
      </c>
      <c r="G78" s="19">
        <f>SUMIF('C3'!$B$6:$B$2228,B78,'C3'!$D$6:$D$2228)</f>
        <v>0</v>
      </c>
      <c r="H78" s="22"/>
      <c r="I78" s="22"/>
      <c r="J78" s="4" t="s">
        <v>12</v>
      </c>
      <c r="K78" s="4" t="s">
        <v>88</v>
      </c>
    </row>
    <row r="79" spans="2:11">
      <c r="B79" s="1">
        <v>82</v>
      </c>
      <c r="C79" s="4" t="s">
        <v>91</v>
      </c>
      <c r="D79" s="19">
        <f t="shared" si="1"/>
        <v>0</v>
      </c>
      <c r="E79" s="19">
        <f>SUMIF('C1'!$B$6:$B$2228,B79,'C1'!$D$6:$D$2228)</f>
        <v>0</v>
      </c>
      <c r="F79" s="19">
        <f>SUMIF('C2'!$B$6:$B$2228,B79,'C2'!$D$6:$D$2228)</f>
        <v>0</v>
      </c>
      <c r="G79" s="19">
        <f>SUMIF('C3'!$B$6:$B$2228,B79,'C3'!$D$6:$D$2228)</f>
        <v>0</v>
      </c>
      <c r="H79" s="22"/>
      <c r="I79" s="22"/>
      <c r="J79" s="4" t="s">
        <v>12</v>
      </c>
      <c r="K79" s="4" t="s">
        <v>88</v>
      </c>
    </row>
    <row r="80" spans="2:11">
      <c r="B80" s="1">
        <v>83</v>
      </c>
      <c r="C80" s="4" t="s">
        <v>92</v>
      </c>
      <c r="D80" s="19">
        <f t="shared" si="1"/>
        <v>0</v>
      </c>
      <c r="E80" s="19">
        <f>SUMIF('C1'!$B$6:$B$2228,B80,'C1'!$D$6:$D$2228)</f>
        <v>0</v>
      </c>
      <c r="F80" s="19">
        <f>SUMIF('C2'!$B$6:$B$2228,B80,'C2'!$D$6:$D$2228)</f>
        <v>0</v>
      </c>
      <c r="G80" s="19">
        <f>SUMIF('C3'!$B$6:$B$2228,B80,'C3'!$D$6:$D$2228)</f>
        <v>0</v>
      </c>
      <c r="H80" s="22"/>
      <c r="I80" s="22"/>
      <c r="J80" s="4" t="s">
        <v>12</v>
      </c>
      <c r="K80" s="4" t="s">
        <v>88</v>
      </c>
    </row>
    <row r="81" spans="2:11">
      <c r="B81" s="1">
        <v>84</v>
      </c>
      <c r="C81" s="4" t="s">
        <v>93</v>
      </c>
      <c r="D81" s="19">
        <f t="shared" si="1"/>
        <v>0</v>
      </c>
      <c r="E81" s="19">
        <f>SUMIF('C1'!$B$6:$B$2228,B81,'C1'!$D$6:$D$2228)</f>
        <v>0</v>
      </c>
      <c r="F81" s="19">
        <f>SUMIF('C2'!$B$6:$B$2228,B81,'C2'!$D$6:$D$2228)</f>
        <v>0</v>
      </c>
      <c r="G81" s="19">
        <f>SUMIF('C3'!$B$6:$B$2228,B81,'C3'!$D$6:$D$2228)</f>
        <v>0</v>
      </c>
      <c r="H81" s="22"/>
      <c r="I81" s="22"/>
      <c r="J81" s="4" t="s">
        <v>12</v>
      </c>
      <c r="K81" s="4" t="s">
        <v>88</v>
      </c>
    </row>
    <row r="82" spans="2:11">
      <c r="B82" s="1">
        <v>85</v>
      </c>
      <c r="C82" s="4" t="s">
        <v>94</v>
      </c>
      <c r="D82" s="19">
        <f t="shared" si="1"/>
        <v>25</v>
      </c>
      <c r="E82" s="19">
        <f>SUMIF('C1'!$B$6:$B$2228,B82,'C1'!$D$6:$D$2228)</f>
        <v>25</v>
      </c>
      <c r="F82" s="19">
        <f>SUMIF('C2'!$B$6:$B$2228,B82,'C2'!$D$6:$D$2228)</f>
        <v>0</v>
      </c>
      <c r="G82" s="19">
        <f>SUMIF('C3'!$B$6:$B$2228,B82,'C3'!$D$6:$D$2228)</f>
        <v>0</v>
      </c>
      <c r="H82" s="22"/>
      <c r="I82" s="22"/>
      <c r="J82" s="4" t="s">
        <v>12</v>
      </c>
      <c r="K82" s="4" t="s">
        <v>88</v>
      </c>
    </row>
    <row r="83" spans="2:11">
      <c r="B83" s="1">
        <v>93</v>
      </c>
      <c r="C83" s="4" t="s">
        <v>95</v>
      </c>
      <c r="D83" s="19">
        <f t="shared" si="1"/>
        <v>76</v>
      </c>
      <c r="E83" s="19">
        <f>SUMIF('C1'!$B$6:$B$2228,B83,'C1'!$D$6:$D$2228)</f>
        <v>76</v>
      </c>
      <c r="F83" s="19">
        <f>SUMIF('C2'!$B$6:$B$2228,B83,'C2'!$D$6:$D$2228)</f>
        <v>0</v>
      </c>
      <c r="G83" s="19">
        <f>SUMIF('C3'!$B$6:$B$2228,B83,'C3'!$D$6:$D$2228)</f>
        <v>0</v>
      </c>
      <c r="H83" s="22"/>
      <c r="I83" s="22"/>
      <c r="J83" s="4" t="s">
        <v>12</v>
      </c>
      <c r="K83" s="4" t="s">
        <v>88</v>
      </c>
    </row>
    <row r="84" spans="2:11">
      <c r="B84" s="1">
        <v>104</v>
      </c>
      <c r="C84" s="4" t="s">
        <v>96</v>
      </c>
      <c r="D84" s="19">
        <f t="shared" si="1"/>
        <v>0</v>
      </c>
      <c r="E84" s="19">
        <f>SUMIF('C1'!$B$6:$B$2228,B84,'C1'!$D$6:$D$2228)</f>
        <v>0</v>
      </c>
      <c r="F84" s="19">
        <f>SUMIF('C2'!$B$6:$B$2228,B84,'C2'!$D$6:$D$2228)</f>
        <v>0</v>
      </c>
      <c r="G84" s="19">
        <f>SUMIF('C3'!$B$6:$B$2228,B84,'C3'!$D$6:$D$2228)</f>
        <v>0</v>
      </c>
      <c r="H84" s="22"/>
      <c r="I84" s="22"/>
      <c r="J84" s="4" t="s">
        <v>51</v>
      </c>
      <c r="K84" s="4" t="s">
        <v>97</v>
      </c>
    </row>
    <row r="85" spans="2:11">
      <c r="B85" s="1">
        <v>105</v>
      </c>
      <c r="C85" s="4" t="s">
        <v>98</v>
      </c>
      <c r="D85" s="19">
        <f t="shared" si="1"/>
        <v>0</v>
      </c>
      <c r="E85" s="19">
        <f>SUMIF('C1'!$B$6:$B$2228,B85,'C1'!$D$6:$D$2228)</f>
        <v>0</v>
      </c>
      <c r="F85" s="19">
        <f>SUMIF('C2'!$B$6:$B$2228,B85,'C2'!$D$6:$D$2228)</f>
        <v>0</v>
      </c>
      <c r="G85" s="19">
        <f>SUMIF('C3'!$B$6:$B$2228,B85,'C3'!$D$6:$D$2228)</f>
        <v>0</v>
      </c>
      <c r="H85" s="22"/>
      <c r="I85" s="22"/>
      <c r="J85" s="4" t="s">
        <v>51</v>
      </c>
      <c r="K85" s="4" t="s">
        <v>97</v>
      </c>
    </row>
    <row r="86" spans="2:11">
      <c r="B86" s="1">
        <v>106</v>
      </c>
      <c r="C86" s="4" t="s">
        <v>99</v>
      </c>
      <c r="D86" s="19">
        <f t="shared" si="1"/>
        <v>0</v>
      </c>
      <c r="E86" s="19">
        <f>SUMIF('C1'!$B$6:$B$2228,B86,'C1'!$D$6:$D$2228)</f>
        <v>0</v>
      </c>
      <c r="F86" s="19">
        <f>SUMIF('C2'!$B$6:$B$2228,B86,'C2'!$D$6:$D$2228)</f>
        <v>0</v>
      </c>
      <c r="G86" s="19">
        <f>SUMIF('C3'!$B$6:$B$2228,B86,'C3'!$D$6:$D$2228)</f>
        <v>0</v>
      </c>
      <c r="H86" s="22"/>
      <c r="I86" s="22"/>
      <c r="J86" s="4" t="s">
        <v>51</v>
      </c>
      <c r="K86" s="4" t="s">
        <v>97</v>
      </c>
    </row>
    <row r="87" spans="2:11">
      <c r="B87" s="1">
        <v>107</v>
      </c>
      <c r="C87" s="4" t="s">
        <v>100</v>
      </c>
      <c r="D87" s="19">
        <f t="shared" si="1"/>
        <v>0</v>
      </c>
      <c r="E87" s="19">
        <f>SUMIF('C1'!$B$6:$B$2228,B87,'C1'!$D$6:$D$2228)</f>
        <v>0</v>
      </c>
      <c r="F87" s="19">
        <f>SUMIF('C2'!$B$6:$B$2228,B87,'C2'!$D$6:$D$2228)</f>
        <v>0</v>
      </c>
      <c r="G87" s="19">
        <f>SUMIF('C3'!$B$6:$B$2228,B87,'C3'!$D$6:$D$2228)</f>
        <v>0</v>
      </c>
      <c r="H87" s="22"/>
      <c r="I87" s="22"/>
      <c r="J87" s="4" t="s">
        <v>51</v>
      </c>
      <c r="K87" s="4" t="s">
        <v>97</v>
      </c>
    </row>
    <row r="88" spans="2:11">
      <c r="B88" s="1">
        <v>108</v>
      </c>
      <c r="C88" s="4" t="s">
        <v>101</v>
      </c>
      <c r="D88" s="19">
        <f t="shared" si="1"/>
        <v>0</v>
      </c>
      <c r="E88" s="19">
        <f>SUMIF('C1'!$B$6:$B$2228,B88,'C1'!$D$6:$D$2228)</f>
        <v>0</v>
      </c>
      <c r="F88" s="19">
        <f>SUMIF('C2'!$B$6:$B$2228,B88,'C2'!$D$6:$D$2228)</f>
        <v>0</v>
      </c>
      <c r="G88" s="19">
        <f>SUMIF('C3'!$B$6:$B$2228,B88,'C3'!$D$6:$D$2228)</f>
        <v>0</v>
      </c>
      <c r="H88" s="22"/>
      <c r="I88" s="22"/>
      <c r="J88" s="4" t="s">
        <v>102</v>
      </c>
      <c r="K88" s="4" t="s">
        <v>103</v>
      </c>
    </row>
    <row r="89" spans="2:11">
      <c r="B89" s="1">
        <v>109</v>
      </c>
      <c r="C89" s="4" t="s">
        <v>104</v>
      </c>
      <c r="D89" s="19">
        <f t="shared" si="1"/>
        <v>455</v>
      </c>
      <c r="E89" s="19">
        <f>SUMIF('C1'!$B$6:$B$2228,B89,'C1'!$D$6:$D$2228)</f>
        <v>0</v>
      </c>
      <c r="F89" s="19">
        <f>SUMIF('C2'!$B$6:$B$2228,B89,'C2'!$D$6:$D$2228)</f>
        <v>0</v>
      </c>
      <c r="G89" s="19">
        <f>SUMIF('C3'!$B$6:$B$2228,B89,'C3'!$D$6:$D$2228)</f>
        <v>455</v>
      </c>
      <c r="H89" s="22"/>
      <c r="I89" s="22"/>
      <c r="J89" s="4" t="s">
        <v>102</v>
      </c>
      <c r="K89" s="4" t="s">
        <v>103</v>
      </c>
    </row>
    <row r="90" spans="2:11">
      <c r="B90" s="1">
        <v>111</v>
      </c>
      <c r="C90" s="4" t="s">
        <v>105</v>
      </c>
      <c r="D90" s="19">
        <f t="shared" si="1"/>
        <v>0</v>
      </c>
      <c r="E90" s="19">
        <f>SUMIF('C1'!$B$6:$B$2228,B90,'C1'!$D$6:$D$2228)</f>
        <v>0</v>
      </c>
      <c r="F90" s="19">
        <f>SUMIF('C2'!$B$6:$B$2228,B90,'C2'!$D$6:$D$2228)</f>
        <v>0</v>
      </c>
      <c r="G90" s="19">
        <f>SUMIF('C3'!$B$6:$B$2228,B90,'C3'!$D$6:$D$2228)</f>
        <v>0</v>
      </c>
      <c r="H90" s="22"/>
      <c r="I90" s="22"/>
      <c r="J90" s="4" t="s">
        <v>102</v>
      </c>
      <c r="K90" s="4" t="s">
        <v>106</v>
      </c>
    </row>
    <row r="91" spans="2:11">
      <c r="B91" s="1">
        <v>112</v>
      </c>
      <c r="C91" s="4" t="s">
        <v>107</v>
      </c>
      <c r="D91" s="19">
        <f t="shared" si="1"/>
        <v>0</v>
      </c>
      <c r="E91" s="19">
        <f>SUMIF('C1'!$B$6:$B$2228,B91,'C1'!$D$6:$D$2228)</f>
        <v>0</v>
      </c>
      <c r="F91" s="19">
        <f>SUMIF('C2'!$B$6:$B$2228,B91,'C2'!$D$6:$D$2228)</f>
        <v>0</v>
      </c>
      <c r="G91" s="19">
        <f>SUMIF('C3'!$B$6:$B$2228,B91,'C3'!$D$6:$D$2228)</f>
        <v>0</v>
      </c>
      <c r="H91" s="22"/>
      <c r="I91" s="22"/>
      <c r="J91" s="4" t="s">
        <v>102</v>
      </c>
      <c r="K91" s="4" t="s">
        <v>103</v>
      </c>
    </row>
    <row r="92" spans="2:11">
      <c r="B92" s="1">
        <v>113</v>
      </c>
      <c r="C92" s="4" t="s">
        <v>108</v>
      </c>
      <c r="D92" s="19">
        <f t="shared" si="1"/>
        <v>0</v>
      </c>
      <c r="E92" s="19">
        <f>SUMIF('C1'!$B$6:$B$2228,B92,'C1'!$D$6:$D$2228)</f>
        <v>0</v>
      </c>
      <c r="F92" s="19">
        <f>SUMIF('C2'!$B$6:$B$2228,B92,'C2'!$D$6:$D$2228)</f>
        <v>0</v>
      </c>
      <c r="G92" s="19">
        <f>SUMIF('C3'!$B$6:$B$2228,B92,'C3'!$D$6:$D$2228)</f>
        <v>0</v>
      </c>
      <c r="H92" s="22"/>
      <c r="I92" s="22"/>
      <c r="J92" s="4" t="s">
        <v>102</v>
      </c>
      <c r="K92" s="4" t="s">
        <v>106</v>
      </c>
    </row>
    <row r="93" spans="2:11">
      <c r="B93" s="1">
        <v>114</v>
      </c>
      <c r="C93" s="4" t="s">
        <v>109</v>
      </c>
      <c r="D93" s="19">
        <f t="shared" si="1"/>
        <v>325</v>
      </c>
      <c r="E93" s="19">
        <f>SUMIF('C1'!$B$6:$B$2228,B93,'C1'!$D$6:$D$2228)</f>
        <v>0</v>
      </c>
      <c r="F93" s="19">
        <f>SUMIF('C2'!$B$6:$B$2228,B93,'C2'!$D$6:$D$2228)</f>
        <v>0</v>
      </c>
      <c r="G93" s="19">
        <f>SUMIF('C3'!$B$6:$B$2228,B93,'C3'!$D$6:$D$2228)</f>
        <v>325</v>
      </c>
      <c r="H93" s="22"/>
      <c r="I93" s="22"/>
      <c r="J93" s="4" t="s">
        <v>102</v>
      </c>
      <c r="K93" s="4" t="s">
        <v>106</v>
      </c>
    </row>
    <row r="94" spans="2:11">
      <c r="B94" s="1">
        <v>115</v>
      </c>
      <c r="C94" s="4" t="s">
        <v>110</v>
      </c>
      <c r="D94" s="19">
        <f t="shared" si="1"/>
        <v>9986</v>
      </c>
      <c r="E94" s="19">
        <f>SUMIF('C1'!$B$6:$B$2228,B94,'C1'!$D$6:$D$2228)</f>
        <v>0</v>
      </c>
      <c r="F94" s="19">
        <f>SUMIF('C2'!$B$6:$B$2228,B94,'C2'!$D$6:$D$2228)</f>
        <v>0</v>
      </c>
      <c r="G94" s="19">
        <f>SUMIF('C3'!$B$6:$B$2228,B94,'C3'!$D$6:$D$2228)</f>
        <v>9986</v>
      </c>
      <c r="H94" s="22"/>
      <c r="I94" s="22"/>
      <c r="J94" s="4" t="s">
        <v>102</v>
      </c>
      <c r="K94" s="4" t="s">
        <v>103</v>
      </c>
    </row>
    <row r="95" spans="2:11">
      <c r="B95" s="1">
        <v>116</v>
      </c>
      <c r="C95" s="4" t="s">
        <v>111</v>
      </c>
      <c r="D95" s="19">
        <f t="shared" si="1"/>
        <v>0</v>
      </c>
      <c r="E95" s="19">
        <f>SUMIF('C1'!$B$6:$B$2228,B95,'C1'!$D$6:$D$2228)</f>
        <v>0</v>
      </c>
      <c r="F95" s="19">
        <f>SUMIF('C2'!$B$6:$B$2228,B95,'C2'!$D$6:$D$2228)</f>
        <v>0</v>
      </c>
      <c r="G95" s="19">
        <f>SUMIF('C3'!$B$6:$B$2228,B95,'C3'!$D$6:$D$2228)</f>
        <v>0</v>
      </c>
      <c r="H95" s="22"/>
      <c r="I95" s="22"/>
      <c r="J95" s="4" t="s">
        <v>102</v>
      </c>
      <c r="K95" s="4" t="s">
        <v>103</v>
      </c>
    </row>
    <row r="96" spans="2:11">
      <c r="B96" s="1">
        <v>117</v>
      </c>
      <c r="C96" s="4" t="s">
        <v>112</v>
      </c>
      <c r="D96" s="19">
        <f t="shared" si="1"/>
        <v>0</v>
      </c>
      <c r="E96" s="19">
        <f>SUMIF('C1'!$B$6:$B$2228,B96,'C1'!$D$6:$D$2228)</f>
        <v>0</v>
      </c>
      <c r="F96" s="19">
        <f>SUMIF('C2'!$B$6:$B$2228,B96,'C2'!$D$6:$D$2228)</f>
        <v>0</v>
      </c>
      <c r="G96" s="19">
        <f>SUMIF('C3'!$B$6:$B$2228,B96,'C3'!$D$6:$D$2228)</f>
        <v>0</v>
      </c>
      <c r="H96" s="22"/>
      <c r="I96" s="22"/>
      <c r="J96" s="4" t="s">
        <v>102</v>
      </c>
      <c r="K96" s="4" t="s">
        <v>106</v>
      </c>
    </row>
    <row r="97" spans="2:11">
      <c r="B97" s="1">
        <v>118</v>
      </c>
      <c r="C97" s="4" t="s">
        <v>113</v>
      </c>
      <c r="D97" s="19">
        <f t="shared" si="1"/>
        <v>0</v>
      </c>
      <c r="E97" s="19">
        <f>SUMIF('C1'!$B$6:$B$2228,B97,'C1'!$D$6:$D$2228)</f>
        <v>0</v>
      </c>
      <c r="F97" s="19">
        <f>SUMIF('C2'!$B$6:$B$2228,B97,'C2'!$D$6:$D$2228)</f>
        <v>0</v>
      </c>
      <c r="G97" s="19">
        <f>SUMIF('C3'!$B$6:$B$2228,B97,'C3'!$D$6:$D$2228)</f>
        <v>0</v>
      </c>
      <c r="H97" s="22"/>
      <c r="I97" s="22"/>
      <c r="J97" s="4" t="s">
        <v>102</v>
      </c>
      <c r="K97" s="4" t="s">
        <v>106</v>
      </c>
    </row>
    <row r="98" spans="2:11">
      <c r="B98" s="1">
        <v>119</v>
      </c>
      <c r="C98" s="4" t="s">
        <v>114</v>
      </c>
      <c r="D98" s="19">
        <f t="shared" si="1"/>
        <v>0</v>
      </c>
      <c r="E98" s="19">
        <f>SUMIF('C1'!$B$6:$B$2228,B98,'C1'!$D$6:$D$2228)</f>
        <v>0</v>
      </c>
      <c r="F98" s="19">
        <f>SUMIF('C2'!$B$6:$B$2228,B98,'C2'!$D$6:$D$2228)</f>
        <v>0</v>
      </c>
      <c r="G98" s="19">
        <f>SUMIF('C3'!$B$6:$B$2228,B98,'C3'!$D$6:$D$2228)</f>
        <v>0</v>
      </c>
      <c r="H98" s="22"/>
      <c r="I98" s="22"/>
      <c r="J98" s="4" t="s">
        <v>102</v>
      </c>
      <c r="K98" s="4" t="s">
        <v>106</v>
      </c>
    </row>
    <row r="99" spans="2:11">
      <c r="B99" s="1">
        <v>121</v>
      </c>
      <c r="C99" s="4" t="s">
        <v>115</v>
      </c>
      <c r="D99" s="19">
        <f t="shared" si="1"/>
        <v>0</v>
      </c>
      <c r="E99" s="19">
        <f>SUMIF('C1'!$B$6:$B$2228,B99,'C1'!$D$6:$D$2228)</f>
        <v>0</v>
      </c>
      <c r="F99" s="19">
        <f>SUMIF('C2'!$B$6:$B$2228,B99,'C2'!$D$6:$D$2228)</f>
        <v>0</v>
      </c>
      <c r="G99" s="19">
        <f>SUMIF('C3'!$B$6:$B$2228,B99,'C3'!$D$6:$D$2228)</f>
        <v>0</v>
      </c>
      <c r="H99" s="22"/>
      <c r="I99" s="22"/>
      <c r="J99" s="4" t="s">
        <v>102</v>
      </c>
      <c r="K99" s="4" t="s">
        <v>106</v>
      </c>
    </row>
    <row r="100" spans="2:11">
      <c r="B100" s="1">
        <v>122</v>
      </c>
      <c r="C100" s="4" t="s">
        <v>116</v>
      </c>
      <c r="D100" s="19">
        <f t="shared" si="1"/>
        <v>0</v>
      </c>
      <c r="E100" s="19">
        <f>SUMIF('C1'!$B$6:$B$2228,B100,'C1'!$D$6:$D$2228)</f>
        <v>0</v>
      </c>
      <c r="F100" s="19">
        <f>SUMIF('C2'!$B$6:$B$2228,B100,'C2'!$D$6:$D$2228)</f>
        <v>0</v>
      </c>
      <c r="G100" s="19">
        <f>SUMIF('C3'!$B$6:$B$2228,B100,'C3'!$D$6:$D$2228)</f>
        <v>0</v>
      </c>
      <c r="H100" s="22"/>
      <c r="I100" s="22"/>
      <c r="J100" s="4" t="s">
        <v>102</v>
      </c>
      <c r="K100" s="4" t="s">
        <v>106</v>
      </c>
    </row>
    <row r="101" spans="2:11">
      <c r="B101" s="1">
        <v>123</v>
      </c>
      <c r="C101" s="4" t="s">
        <v>117</v>
      </c>
      <c r="D101" s="19">
        <f t="shared" si="1"/>
        <v>0</v>
      </c>
      <c r="E101" s="19">
        <f>SUMIF('C1'!$B$6:$B$2228,B101,'C1'!$D$6:$D$2228)</f>
        <v>0</v>
      </c>
      <c r="F101" s="19">
        <f>SUMIF('C2'!$B$6:$B$2228,B101,'C2'!$D$6:$D$2228)</f>
        <v>0</v>
      </c>
      <c r="G101" s="19">
        <f>SUMIF('C3'!$B$6:$B$2228,B101,'C3'!$D$6:$D$2228)</f>
        <v>0</v>
      </c>
      <c r="H101" s="22"/>
      <c r="I101" s="22"/>
      <c r="J101" s="4" t="s">
        <v>102</v>
      </c>
      <c r="K101" s="4" t="s">
        <v>106</v>
      </c>
    </row>
    <row r="102" spans="2:11">
      <c r="B102" s="1">
        <v>124</v>
      </c>
      <c r="C102" s="4" t="s">
        <v>118</v>
      </c>
      <c r="D102" s="19">
        <f t="shared" si="1"/>
        <v>0</v>
      </c>
      <c r="E102" s="19">
        <f>SUMIF('C1'!$B$6:$B$2228,B102,'C1'!$D$6:$D$2228)</f>
        <v>0</v>
      </c>
      <c r="F102" s="19">
        <f>SUMIF('C2'!$B$6:$B$2228,B102,'C2'!$D$6:$D$2228)</f>
        <v>0</v>
      </c>
      <c r="G102" s="19">
        <f>SUMIF('C3'!$B$6:$B$2228,B102,'C3'!$D$6:$D$2228)</f>
        <v>0</v>
      </c>
      <c r="H102" s="22"/>
      <c r="I102" s="22"/>
      <c r="J102" s="4" t="s">
        <v>102</v>
      </c>
      <c r="K102" s="4" t="s">
        <v>106</v>
      </c>
    </row>
    <row r="103" spans="2:11">
      <c r="B103" s="1">
        <v>126</v>
      </c>
      <c r="C103" s="4" t="s">
        <v>119</v>
      </c>
      <c r="D103" s="19">
        <f t="shared" si="1"/>
        <v>0</v>
      </c>
      <c r="E103" s="19">
        <f>SUMIF('C1'!$B$6:$B$2228,B103,'C1'!$D$6:$D$2228)</f>
        <v>0</v>
      </c>
      <c r="F103" s="19">
        <f>SUMIF('C2'!$B$6:$B$2228,B103,'C2'!$D$6:$D$2228)</f>
        <v>0</v>
      </c>
      <c r="G103" s="19">
        <f>SUMIF('C3'!$B$6:$B$2228,B103,'C3'!$D$6:$D$2228)</f>
        <v>0</v>
      </c>
      <c r="H103" s="22"/>
      <c r="I103" s="22"/>
      <c r="J103" s="4" t="s">
        <v>102</v>
      </c>
      <c r="K103" s="4" t="s">
        <v>106</v>
      </c>
    </row>
    <row r="104" spans="2:11">
      <c r="B104" s="1">
        <v>128</v>
      </c>
      <c r="C104" s="4" t="s">
        <v>120</v>
      </c>
      <c r="D104" s="19">
        <f t="shared" si="1"/>
        <v>0</v>
      </c>
      <c r="E104" s="19">
        <f>SUMIF('C1'!$B$6:$B$2228,B104,'C1'!$D$6:$D$2228)</f>
        <v>0</v>
      </c>
      <c r="F104" s="19">
        <f>SUMIF('C2'!$B$6:$B$2228,B104,'C2'!$D$6:$D$2228)</f>
        <v>0</v>
      </c>
      <c r="G104" s="19">
        <f>SUMIF('C3'!$B$6:$B$2228,B104,'C3'!$D$6:$D$2228)</f>
        <v>0</v>
      </c>
      <c r="H104" s="22"/>
      <c r="I104" s="22"/>
      <c r="J104" s="4" t="s">
        <v>102</v>
      </c>
      <c r="K104" s="4" t="s">
        <v>106</v>
      </c>
    </row>
    <row r="105" spans="2:11">
      <c r="B105" s="1">
        <v>129</v>
      </c>
      <c r="C105" s="4" t="s">
        <v>121</v>
      </c>
      <c r="D105" s="19">
        <f t="shared" si="1"/>
        <v>0</v>
      </c>
      <c r="E105" s="19">
        <f>SUMIF('C1'!$B$6:$B$2228,B105,'C1'!$D$6:$D$2228)</f>
        <v>0</v>
      </c>
      <c r="F105" s="19">
        <f>SUMIF('C2'!$B$6:$B$2228,B105,'C2'!$D$6:$D$2228)</f>
        <v>0</v>
      </c>
      <c r="G105" s="19">
        <f>SUMIF('C3'!$B$6:$B$2228,B105,'C3'!$D$6:$D$2228)</f>
        <v>0</v>
      </c>
      <c r="H105" s="22"/>
      <c r="I105" s="22"/>
      <c r="J105" s="4" t="s">
        <v>102</v>
      </c>
      <c r="K105" s="4" t="s">
        <v>106</v>
      </c>
    </row>
    <row r="106" spans="2:11">
      <c r="B106" s="1">
        <v>130</v>
      </c>
      <c r="C106" s="4" t="s">
        <v>122</v>
      </c>
      <c r="D106" s="19">
        <f t="shared" si="1"/>
        <v>0</v>
      </c>
      <c r="E106" s="19">
        <f>SUMIF('C1'!$B$6:$B$2228,B106,'C1'!$D$6:$D$2228)</f>
        <v>0</v>
      </c>
      <c r="F106" s="19">
        <f>SUMIF('C2'!$B$6:$B$2228,B106,'C2'!$D$6:$D$2228)</f>
        <v>0</v>
      </c>
      <c r="G106" s="19">
        <f>SUMIF('C3'!$B$6:$B$2228,B106,'C3'!$D$6:$D$2228)</f>
        <v>0</v>
      </c>
      <c r="H106" s="22"/>
      <c r="I106" s="22"/>
      <c r="J106" s="4" t="s">
        <v>102</v>
      </c>
      <c r="K106" s="4" t="s">
        <v>106</v>
      </c>
    </row>
    <row r="107" spans="2:11">
      <c r="B107" s="1">
        <v>131</v>
      </c>
      <c r="C107" s="4" t="s">
        <v>123</v>
      </c>
      <c r="D107" s="19">
        <f t="shared" si="1"/>
        <v>0</v>
      </c>
      <c r="E107" s="19">
        <f>SUMIF('C1'!$B$6:$B$2228,B107,'C1'!$D$6:$D$2228)</f>
        <v>0</v>
      </c>
      <c r="F107" s="19">
        <f>SUMIF('C2'!$B$6:$B$2228,B107,'C2'!$D$6:$D$2228)</f>
        <v>0</v>
      </c>
      <c r="G107" s="19">
        <f>SUMIF('C3'!$B$6:$B$2228,B107,'C3'!$D$6:$D$2228)</f>
        <v>0</v>
      </c>
      <c r="H107" s="22"/>
      <c r="I107" s="22"/>
      <c r="J107" s="4" t="s">
        <v>102</v>
      </c>
      <c r="K107" s="4" t="s">
        <v>106</v>
      </c>
    </row>
    <row r="108" spans="2:11">
      <c r="B108" s="1">
        <v>132</v>
      </c>
      <c r="C108" s="4" t="s">
        <v>124</v>
      </c>
      <c r="D108" s="19">
        <f t="shared" si="1"/>
        <v>0</v>
      </c>
      <c r="E108" s="19">
        <f>SUMIF('C1'!$B$6:$B$2228,B108,'C1'!$D$6:$D$2228)</f>
        <v>0</v>
      </c>
      <c r="F108" s="19">
        <f>SUMIF('C2'!$B$6:$B$2228,B108,'C2'!$D$6:$D$2228)</f>
        <v>0</v>
      </c>
      <c r="G108" s="19">
        <f>SUMIF('C3'!$B$6:$B$2228,B108,'C3'!$D$6:$D$2228)</f>
        <v>0</v>
      </c>
      <c r="H108" s="22"/>
      <c r="I108" s="22"/>
      <c r="J108" s="4" t="s">
        <v>102</v>
      </c>
      <c r="K108" s="4" t="s">
        <v>106</v>
      </c>
    </row>
    <row r="109" spans="2:11">
      <c r="B109" s="1">
        <v>134</v>
      </c>
      <c r="C109" s="4" t="s">
        <v>125</v>
      </c>
      <c r="D109" s="19">
        <f t="shared" si="1"/>
        <v>0</v>
      </c>
      <c r="E109" s="19">
        <f>SUMIF('C1'!$B$6:$B$2228,B109,'C1'!$D$6:$D$2228)</f>
        <v>0</v>
      </c>
      <c r="F109" s="19">
        <f>SUMIF('C2'!$B$6:$B$2228,B109,'C2'!$D$6:$D$2228)</f>
        <v>0</v>
      </c>
      <c r="G109" s="19">
        <f>SUMIF('C3'!$B$6:$B$2228,B109,'C3'!$D$6:$D$2228)</f>
        <v>0</v>
      </c>
      <c r="H109" s="22"/>
      <c r="I109" s="22"/>
      <c r="J109" s="4" t="s">
        <v>102</v>
      </c>
      <c r="K109" s="4" t="s">
        <v>106</v>
      </c>
    </row>
    <row r="110" spans="2:11">
      <c r="B110" s="1">
        <v>135</v>
      </c>
      <c r="C110" s="4" t="s">
        <v>126</v>
      </c>
      <c r="D110" s="19">
        <f t="shared" si="1"/>
        <v>0</v>
      </c>
      <c r="E110" s="19">
        <f>SUMIF('C1'!$B$6:$B$2228,B110,'C1'!$D$6:$D$2228)</f>
        <v>0</v>
      </c>
      <c r="F110" s="19">
        <f>SUMIF('C2'!$B$6:$B$2228,B110,'C2'!$D$6:$D$2228)</f>
        <v>0</v>
      </c>
      <c r="G110" s="19">
        <f>SUMIF('C3'!$B$6:$B$2228,B110,'C3'!$D$6:$D$2228)</f>
        <v>0</v>
      </c>
      <c r="H110" s="22"/>
      <c r="I110" s="22"/>
      <c r="J110" s="4" t="s">
        <v>127</v>
      </c>
      <c r="K110" s="4" t="s">
        <v>128</v>
      </c>
    </row>
    <row r="111" spans="2:11">
      <c r="B111" s="1">
        <v>138</v>
      </c>
      <c r="C111" s="4" t="s">
        <v>129</v>
      </c>
      <c r="D111" s="19">
        <f t="shared" si="1"/>
        <v>0</v>
      </c>
      <c r="E111" s="19">
        <f>SUMIF('C1'!$B$6:$B$2228,B111,'C1'!$D$6:$D$2228)</f>
        <v>0</v>
      </c>
      <c r="F111" s="19">
        <f>SUMIF('C2'!$B$6:$B$2228,B111,'C2'!$D$6:$D$2228)</f>
        <v>0</v>
      </c>
      <c r="G111" s="19">
        <f>SUMIF('C3'!$B$6:$B$2228,B111,'C3'!$D$6:$D$2228)</f>
        <v>0</v>
      </c>
      <c r="H111" s="22"/>
      <c r="I111" s="22"/>
      <c r="J111" s="4" t="s">
        <v>127</v>
      </c>
      <c r="K111" s="4" t="s">
        <v>128</v>
      </c>
    </row>
    <row r="112" spans="2:11">
      <c r="B112" s="1">
        <v>140</v>
      </c>
      <c r="C112" s="4" t="s">
        <v>130</v>
      </c>
      <c r="D112" s="19">
        <f t="shared" si="1"/>
        <v>0</v>
      </c>
      <c r="E112" s="19">
        <f>SUMIF('C1'!$B$6:$B$2228,B112,'C1'!$D$6:$D$2228)</f>
        <v>0</v>
      </c>
      <c r="F112" s="19">
        <f>SUMIF('C2'!$B$6:$B$2228,B112,'C2'!$D$6:$D$2228)</f>
        <v>0</v>
      </c>
      <c r="G112" s="19">
        <f>SUMIF('C3'!$B$6:$B$2228,B112,'C3'!$D$6:$D$2228)</f>
        <v>0</v>
      </c>
      <c r="H112" s="22"/>
      <c r="I112" s="22"/>
      <c r="J112" s="4" t="s">
        <v>127</v>
      </c>
      <c r="K112" s="4" t="s">
        <v>128</v>
      </c>
    </row>
    <row r="113" spans="2:11">
      <c r="B113" s="1">
        <v>143</v>
      </c>
      <c r="C113" s="4" t="s">
        <v>131</v>
      </c>
      <c r="D113" s="19">
        <f t="shared" si="1"/>
        <v>0</v>
      </c>
      <c r="E113" s="19">
        <f>SUMIF('C1'!$B$6:$B$2228,B113,'C1'!$D$6:$D$2228)</f>
        <v>0</v>
      </c>
      <c r="F113" s="19">
        <f>SUMIF('C2'!$B$6:$B$2228,B113,'C2'!$D$6:$D$2228)</f>
        <v>0</v>
      </c>
      <c r="G113" s="19">
        <f>SUMIF('C3'!$B$6:$B$2228,B113,'C3'!$D$6:$D$2228)</f>
        <v>0</v>
      </c>
      <c r="H113" s="22"/>
      <c r="I113" s="22"/>
      <c r="J113" s="4" t="s">
        <v>127</v>
      </c>
      <c r="K113" s="4" t="s">
        <v>128</v>
      </c>
    </row>
    <row r="114" spans="2:11">
      <c r="B114" s="1">
        <v>144</v>
      </c>
      <c r="C114" s="4" t="s">
        <v>132</v>
      </c>
      <c r="D114" s="19">
        <f t="shared" si="1"/>
        <v>0</v>
      </c>
      <c r="E114" s="19">
        <f>SUMIF('C1'!$B$6:$B$2228,B114,'C1'!$D$6:$D$2228)</f>
        <v>0</v>
      </c>
      <c r="F114" s="19">
        <f>SUMIF('C2'!$B$6:$B$2228,B114,'C2'!$D$6:$D$2228)</f>
        <v>0</v>
      </c>
      <c r="G114" s="19">
        <f>SUMIF('C3'!$B$6:$B$2228,B114,'C3'!$D$6:$D$2228)</f>
        <v>0</v>
      </c>
      <c r="H114" s="22"/>
      <c r="I114" s="22"/>
      <c r="J114" s="4" t="s">
        <v>127</v>
      </c>
      <c r="K114" s="4" t="s">
        <v>128</v>
      </c>
    </row>
    <row r="115" spans="2:11">
      <c r="B115" s="1">
        <v>155</v>
      </c>
      <c r="C115" s="4" t="s">
        <v>133</v>
      </c>
      <c r="D115" s="19">
        <f t="shared" si="1"/>
        <v>0</v>
      </c>
      <c r="E115" s="19">
        <f>SUMIF('C1'!$B$6:$B$2228,B115,'C1'!$D$6:$D$2228)</f>
        <v>0</v>
      </c>
      <c r="F115" s="19">
        <f>SUMIF('C2'!$B$6:$B$2228,B115,'C2'!$D$6:$D$2228)</f>
        <v>0</v>
      </c>
      <c r="G115" s="19">
        <f>SUMIF('C3'!$B$6:$B$2228,B115,'C3'!$D$6:$D$2228)</f>
        <v>0</v>
      </c>
      <c r="H115" s="22"/>
      <c r="I115" s="22"/>
      <c r="J115" s="4" t="s">
        <v>127</v>
      </c>
      <c r="K115" s="4" t="s">
        <v>128</v>
      </c>
    </row>
    <row r="116" spans="2:11">
      <c r="B116" s="1">
        <v>160</v>
      </c>
      <c r="C116" s="4" t="s">
        <v>134</v>
      </c>
      <c r="D116" s="19">
        <f t="shared" si="1"/>
        <v>0</v>
      </c>
      <c r="E116" s="19">
        <f>SUMIF('C1'!$B$6:$B$2228,B116,'C1'!$D$6:$D$2228)</f>
        <v>0</v>
      </c>
      <c r="F116" s="19">
        <f>SUMIF('C2'!$B$6:$B$2228,B116,'C2'!$D$6:$D$2228)</f>
        <v>0</v>
      </c>
      <c r="G116" s="19">
        <f>SUMIF('C3'!$B$6:$B$2228,B116,'C3'!$D$6:$D$2228)</f>
        <v>0</v>
      </c>
      <c r="H116" s="22"/>
      <c r="I116" s="22"/>
      <c r="J116" s="4" t="s">
        <v>127</v>
      </c>
      <c r="K116" s="4" t="s">
        <v>128</v>
      </c>
    </row>
    <row r="117" spans="2:11">
      <c r="B117" s="1">
        <v>163</v>
      </c>
      <c r="C117" s="4" t="s">
        <v>135</v>
      </c>
      <c r="D117" s="19">
        <f t="shared" si="1"/>
        <v>0</v>
      </c>
      <c r="E117" s="19">
        <f>SUMIF('C1'!$B$6:$B$2228,B117,'C1'!$D$6:$D$2228)</f>
        <v>0</v>
      </c>
      <c r="F117" s="19">
        <f>SUMIF('C2'!$B$6:$B$2228,B117,'C2'!$D$6:$D$2228)</f>
        <v>0</v>
      </c>
      <c r="G117" s="19">
        <f>SUMIF('C3'!$B$6:$B$2228,B117,'C3'!$D$6:$D$2228)</f>
        <v>0</v>
      </c>
      <c r="H117" s="22"/>
      <c r="I117" s="22"/>
      <c r="J117" s="4" t="s">
        <v>127</v>
      </c>
      <c r="K117" s="4" t="s">
        <v>128</v>
      </c>
    </row>
    <row r="118" spans="2:11">
      <c r="B118" s="1">
        <v>180</v>
      </c>
      <c r="C118" s="4" t="s">
        <v>136</v>
      </c>
      <c r="D118" s="19">
        <f t="shared" si="1"/>
        <v>0</v>
      </c>
      <c r="E118" s="19">
        <f>SUMIF('C1'!$B$6:$B$2228,B118,'C1'!$D$6:$D$2228)</f>
        <v>0</v>
      </c>
      <c r="F118" s="19">
        <f>SUMIF('C2'!$B$6:$B$2228,B118,'C2'!$D$6:$D$2228)</f>
        <v>0</v>
      </c>
      <c r="G118" s="19">
        <f>SUMIF('C3'!$B$6:$B$2228,B118,'C3'!$D$6:$D$2228)</f>
        <v>0</v>
      </c>
      <c r="H118" s="22"/>
      <c r="I118" s="22"/>
      <c r="J118" s="4" t="s">
        <v>127</v>
      </c>
      <c r="K118" s="4" t="s">
        <v>128</v>
      </c>
    </row>
    <row r="119" spans="2:11">
      <c r="B119" s="1">
        <v>182</v>
      </c>
      <c r="C119" s="4" t="s">
        <v>137</v>
      </c>
      <c r="D119" s="19">
        <f t="shared" si="1"/>
        <v>0</v>
      </c>
      <c r="E119" s="19">
        <f>SUMIF('C1'!$B$6:$B$2228,B119,'C1'!$D$6:$D$2228)</f>
        <v>0</v>
      </c>
      <c r="F119" s="19">
        <f>SUMIF('C2'!$B$6:$B$2228,B119,'C2'!$D$6:$D$2228)</f>
        <v>0</v>
      </c>
      <c r="G119" s="19">
        <f>SUMIF('C3'!$B$6:$B$2228,B119,'C3'!$D$6:$D$2228)</f>
        <v>0</v>
      </c>
      <c r="H119" s="22"/>
      <c r="I119" s="22"/>
      <c r="J119" s="4" t="s">
        <v>127</v>
      </c>
      <c r="K119" s="4" t="s">
        <v>128</v>
      </c>
    </row>
    <row r="120" spans="2:11">
      <c r="B120" s="1">
        <v>185</v>
      </c>
      <c r="C120" s="4" t="s">
        <v>138</v>
      </c>
      <c r="D120" s="19">
        <f t="shared" si="1"/>
        <v>0</v>
      </c>
      <c r="E120" s="19">
        <f>SUMIF('C1'!$B$6:$B$2228,B120,'C1'!$D$6:$D$2228)</f>
        <v>0</v>
      </c>
      <c r="F120" s="19">
        <f>SUMIF('C2'!$B$6:$B$2228,B120,'C2'!$D$6:$D$2228)</f>
        <v>0</v>
      </c>
      <c r="G120" s="19">
        <f>SUMIF('C3'!$B$6:$B$2228,B120,'C3'!$D$6:$D$2228)</f>
        <v>0</v>
      </c>
      <c r="H120" s="22"/>
      <c r="I120" s="22"/>
      <c r="J120" s="4" t="s">
        <v>127</v>
      </c>
      <c r="K120" s="4" t="s">
        <v>128</v>
      </c>
    </row>
    <row r="121" spans="2:11">
      <c r="B121" s="1">
        <v>187</v>
      </c>
      <c r="C121" s="4" t="s">
        <v>139</v>
      </c>
      <c r="D121" s="19">
        <f t="shared" si="1"/>
        <v>0</v>
      </c>
      <c r="E121" s="19">
        <f>SUMIF('C1'!$B$6:$B$2228,B121,'C1'!$D$6:$D$2228)</f>
        <v>0</v>
      </c>
      <c r="F121" s="19">
        <f>SUMIF('C2'!$B$6:$B$2228,B121,'C2'!$D$6:$D$2228)</f>
        <v>0</v>
      </c>
      <c r="G121" s="19">
        <f>SUMIF('C3'!$B$6:$B$2228,B121,'C3'!$D$6:$D$2228)</f>
        <v>0</v>
      </c>
      <c r="H121" s="22"/>
      <c r="I121" s="22"/>
      <c r="J121" s="4" t="s">
        <v>127</v>
      </c>
      <c r="K121" s="4" t="s">
        <v>128</v>
      </c>
    </row>
    <row r="122" spans="2:11">
      <c r="B122" s="1">
        <v>188</v>
      </c>
      <c r="C122" s="4" t="s">
        <v>140</v>
      </c>
      <c r="D122" s="19">
        <f t="shared" si="1"/>
        <v>0</v>
      </c>
      <c r="E122" s="19">
        <f>SUMIF('C1'!$B$6:$B$2228,B122,'C1'!$D$6:$D$2228)</f>
        <v>0</v>
      </c>
      <c r="F122" s="19">
        <f>SUMIF('C2'!$B$6:$B$2228,B122,'C2'!$D$6:$D$2228)</f>
        <v>0</v>
      </c>
      <c r="G122" s="19">
        <f>SUMIF('C3'!$B$6:$B$2228,B122,'C3'!$D$6:$D$2228)</f>
        <v>0</v>
      </c>
      <c r="H122" s="22"/>
      <c r="I122" s="22"/>
      <c r="J122" s="4" t="s">
        <v>127</v>
      </c>
      <c r="K122" s="4" t="s">
        <v>128</v>
      </c>
    </row>
    <row r="123" spans="2:11">
      <c r="B123" s="1">
        <v>190</v>
      </c>
      <c r="C123" s="4" t="s">
        <v>141</v>
      </c>
      <c r="D123" s="19">
        <f t="shared" si="1"/>
        <v>0</v>
      </c>
      <c r="E123" s="19">
        <f>SUMIF('C1'!$B$6:$B$2228,B123,'C1'!$D$6:$D$2228)</f>
        <v>0</v>
      </c>
      <c r="F123" s="19">
        <f>SUMIF('C2'!$B$6:$B$2228,B123,'C2'!$D$6:$D$2228)</f>
        <v>0</v>
      </c>
      <c r="G123" s="19">
        <f>SUMIF('C3'!$B$6:$B$2228,B123,'C3'!$D$6:$D$2228)</f>
        <v>0</v>
      </c>
      <c r="H123" s="22"/>
      <c r="I123" s="22"/>
      <c r="J123" s="4" t="s">
        <v>127</v>
      </c>
      <c r="K123" s="4" t="s">
        <v>128</v>
      </c>
    </row>
    <row r="124" spans="2:11">
      <c r="B124" s="1">
        <v>191</v>
      </c>
      <c r="C124" s="4" t="s">
        <v>142</v>
      </c>
      <c r="D124" s="19">
        <f t="shared" si="1"/>
        <v>0</v>
      </c>
      <c r="E124" s="19">
        <f>SUMIF('C1'!$B$6:$B$2228,B124,'C1'!$D$6:$D$2228)</f>
        <v>0</v>
      </c>
      <c r="F124" s="19">
        <f>SUMIF('C2'!$B$6:$B$2228,B124,'C2'!$D$6:$D$2228)</f>
        <v>0</v>
      </c>
      <c r="G124" s="19">
        <f>SUMIF('C3'!$B$6:$B$2228,B124,'C3'!$D$6:$D$2228)</f>
        <v>0</v>
      </c>
      <c r="H124" s="22"/>
      <c r="I124" s="22"/>
      <c r="J124" s="4" t="s">
        <v>127</v>
      </c>
      <c r="K124" s="4" t="s">
        <v>128</v>
      </c>
    </row>
    <row r="125" spans="2:11">
      <c r="B125" s="1">
        <v>192</v>
      </c>
      <c r="C125" s="4" t="s">
        <v>143</v>
      </c>
      <c r="D125" s="19">
        <f t="shared" si="1"/>
        <v>0</v>
      </c>
      <c r="E125" s="19">
        <f>SUMIF('C1'!$B$6:$B$2228,B125,'C1'!$D$6:$D$2228)</f>
        <v>0</v>
      </c>
      <c r="F125" s="19">
        <f>SUMIF('C2'!$B$6:$B$2228,B125,'C2'!$D$6:$D$2228)</f>
        <v>0</v>
      </c>
      <c r="G125" s="19">
        <f>SUMIF('C3'!$B$6:$B$2228,B125,'C3'!$D$6:$D$2228)</f>
        <v>0</v>
      </c>
      <c r="H125" s="22"/>
      <c r="I125" s="22"/>
      <c r="J125" s="4" t="s">
        <v>127</v>
      </c>
      <c r="K125" s="4" t="s">
        <v>128</v>
      </c>
    </row>
    <row r="126" spans="2:11">
      <c r="B126" s="1">
        <v>193</v>
      </c>
      <c r="C126" s="4" t="s">
        <v>144</v>
      </c>
      <c r="D126" s="19">
        <f t="shared" si="1"/>
        <v>0</v>
      </c>
      <c r="E126" s="19">
        <f>SUMIF('C1'!$B$6:$B$2228,B126,'C1'!$D$6:$D$2228)</f>
        <v>0</v>
      </c>
      <c r="F126" s="19">
        <f>SUMIF('C2'!$B$6:$B$2228,B126,'C2'!$D$6:$D$2228)</f>
        <v>0</v>
      </c>
      <c r="G126" s="19">
        <f>SUMIF('C3'!$B$6:$B$2228,B126,'C3'!$D$6:$D$2228)</f>
        <v>0</v>
      </c>
      <c r="H126" s="22"/>
      <c r="I126" s="22"/>
      <c r="J126" s="4" t="s">
        <v>127</v>
      </c>
      <c r="K126" s="4" t="s">
        <v>128</v>
      </c>
    </row>
    <row r="127" spans="2:11">
      <c r="B127" s="1">
        <v>195</v>
      </c>
      <c r="C127" s="4" t="s">
        <v>145</v>
      </c>
      <c r="D127" s="19">
        <f t="shared" si="1"/>
        <v>0</v>
      </c>
      <c r="E127" s="19">
        <f>SUMIF('C1'!$B$6:$B$2228,B127,'C1'!$D$6:$D$2228)</f>
        <v>0</v>
      </c>
      <c r="F127" s="19">
        <f>SUMIF('C2'!$B$6:$B$2228,B127,'C2'!$D$6:$D$2228)</f>
        <v>0</v>
      </c>
      <c r="G127" s="19">
        <f>SUMIF('C3'!$B$6:$B$2228,B127,'C3'!$D$6:$D$2228)</f>
        <v>0</v>
      </c>
      <c r="H127" s="22"/>
      <c r="I127" s="22"/>
      <c r="J127" s="4" t="s">
        <v>127</v>
      </c>
      <c r="K127" s="4" t="s">
        <v>128</v>
      </c>
    </row>
    <row r="128" spans="2:11">
      <c r="B128" s="1">
        <v>203</v>
      </c>
      <c r="C128" s="4" t="s">
        <v>146</v>
      </c>
      <c r="D128" s="19">
        <f t="shared" si="1"/>
        <v>0</v>
      </c>
      <c r="E128" s="19">
        <f>SUMIF('C1'!$B$6:$B$2228,B128,'C1'!$D$6:$D$2228)</f>
        <v>0</v>
      </c>
      <c r="F128" s="19">
        <f>SUMIF('C2'!$B$6:$B$2228,B128,'C2'!$D$6:$D$2228)</f>
        <v>0</v>
      </c>
      <c r="G128" s="19">
        <f>SUMIF('C3'!$B$6:$B$2228,B128,'C3'!$D$6:$D$2228)</f>
        <v>0</v>
      </c>
      <c r="H128" s="22"/>
      <c r="I128" s="22"/>
      <c r="J128" s="4" t="s">
        <v>127</v>
      </c>
      <c r="K128" s="4" t="s">
        <v>128</v>
      </c>
    </row>
    <row r="129" spans="2:11">
      <c r="B129" s="1">
        <v>206</v>
      </c>
      <c r="C129" s="4" t="s">
        <v>147</v>
      </c>
      <c r="D129" s="19">
        <f t="shared" si="1"/>
        <v>0</v>
      </c>
      <c r="E129" s="19">
        <f>SUMIF('C1'!$B$6:$B$2228,B129,'C1'!$D$6:$D$2228)</f>
        <v>0</v>
      </c>
      <c r="F129" s="19">
        <f>SUMIF('C2'!$B$6:$B$2228,B129,'C2'!$D$6:$D$2228)</f>
        <v>0</v>
      </c>
      <c r="G129" s="19">
        <f>SUMIF('C3'!$B$6:$B$2228,B129,'C3'!$D$6:$D$2228)</f>
        <v>0</v>
      </c>
      <c r="H129" s="22"/>
      <c r="I129" s="22"/>
      <c r="J129" s="4" t="s">
        <v>127</v>
      </c>
      <c r="K129" s="4" t="s">
        <v>148</v>
      </c>
    </row>
    <row r="130" spans="2:11">
      <c r="B130" s="1">
        <v>208</v>
      </c>
      <c r="C130" s="4" t="s">
        <v>149</v>
      </c>
      <c r="D130" s="19">
        <f t="shared" si="1"/>
        <v>0</v>
      </c>
      <c r="E130" s="19">
        <f>SUMIF('C1'!$B$6:$B$2228,B130,'C1'!$D$6:$D$2228)</f>
        <v>0</v>
      </c>
      <c r="F130" s="19">
        <f>SUMIF('C2'!$B$6:$B$2228,B130,'C2'!$D$6:$D$2228)</f>
        <v>0</v>
      </c>
      <c r="G130" s="19">
        <f>SUMIF('C3'!$B$6:$B$2228,B130,'C3'!$D$6:$D$2228)</f>
        <v>0</v>
      </c>
      <c r="H130" s="22"/>
      <c r="I130" s="22"/>
      <c r="J130" s="4" t="s">
        <v>127</v>
      </c>
      <c r="K130" s="4" t="s">
        <v>150</v>
      </c>
    </row>
    <row r="131" spans="2:11">
      <c r="B131" s="1">
        <v>211</v>
      </c>
      <c r="C131" s="4" t="s">
        <v>151</v>
      </c>
      <c r="D131" s="19">
        <f t="shared" si="1"/>
        <v>0</v>
      </c>
      <c r="E131" s="19">
        <f>SUMIF('C1'!$B$6:$B$2228,B131,'C1'!$D$6:$D$2228)</f>
        <v>0</v>
      </c>
      <c r="F131" s="19">
        <f>SUMIF('C2'!$B$6:$B$2228,B131,'C2'!$D$6:$D$2228)</f>
        <v>0</v>
      </c>
      <c r="G131" s="19">
        <f>SUMIF('C3'!$B$6:$B$2228,B131,'C3'!$D$6:$D$2228)</f>
        <v>0</v>
      </c>
      <c r="H131" s="22"/>
      <c r="I131" s="22"/>
      <c r="J131" s="4" t="s">
        <v>127</v>
      </c>
      <c r="K131" s="4" t="s">
        <v>128</v>
      </c>
    </row>
    <row r="132" spans="2:11">
      <c r="B132" s="1">
        <v>212</v>
      </c>
      <c r="C132" s="4" t="s">
        <v>152</v>
      </c>
      <c r="D132" s="19">
        <f t="shared" si="1"/>
        <v>0</v>
      </c>
      <c r="E132" s="19">
        <f>SUMIF('C1'!$B$6:$B$2228,B132,'C1'!$D$6:$D$2228)</f>
        <v>0</v>
      </c>
      <c r="F132" s="19">
        <f>SUMIF('C2'!$B$6:$B$2228,B132,'C2'!$D$6:$D$2228)</f>
        <v>0</v>
      </c>
      <c r="G132" s="19">
        <f>SUMIF('C3'!$B$6:$B$2228,B132,'C3'!$D$6:$D$2228)</f>
        <v>0</v>
      </c>
      <c r="H132" s="22"/>
      <c r="I132" s="22"/>
      <c r="J132" s="4" t="s">
        <v>127</v>
      </c>
      <c r="K132" s="4" t="s">
        <v>128</v>
      </c>
    </row>
    <row r="133" spans="2:11">
      <c r="B133" s="1">
        <v>213</v>
      </c>
      <c r="C133" s="4" t="s">
        <v>153</v>
      </c>
      <c r="D133" s="19">
        <f t="shared" si="1"/>
        <v>0</v>
      </c>
      <c r="E133" s="19">
        <f>SUMIF('C1'!$B$6:$B$2228,B133,'C1'!$D$6:$D$2228)</f>
        <v>0</v>
      </c>
      <c r="F133" s="19">
        <f>SUMIF('C2'!$B$6:$B$2228,B133,'C2'!$D$6:$D$2228)</f>
        <v>0</v>
      </c>
      <c r="G133" s="19">
        <f>SUMIF('C3'!$B$6:$B$2228,B133,'C3'!$D$6:$D$2228)</f>
        <v>0</v>
      </c>
      <c r="H133" s="22"/>
      <c r="I133" s="22"/>
      <c r="J133" s="4" t="s">
        <v>127</v>
      </c>
      <c r="K133" s="4" t="s">
        <v>128</v>
      </c>
    </row>
    <row r="134" spans="2:11">
      <c r="B134" s="1">
        <v>220</v>
      </c>
      <c r="C134" s="4" t="s">
        <v>154</v>
      </c>
      <c r="D134" s="19">
        <f t="shared" si="1"/>
        <v>0</v>
      </c>
      <c r="E134" s="19">
        <f>SUMIF('C1'!$B$6:$B$2228,B134,'C1'!$D$6:$D$2228)</f>
        <v>0</v>
      </c>
      <c r="F134" s="19">
        <f>SUMIF('C2'!$B$6:$B$2228,B134,'C2'!$D$6:$D$2228)</f>
        <v>0</v>
      </c>
      <c r="G134" s="19">
        <f>SUMIF('C3'!$B$6:$B$2228,B134,'C3'!$D$6:$D$2228)</f>
        <v>0</v>
      </c>
      <c r="H134" s="22"/>
      <c r="I134" s="22"/>
      <c r="J134" s="4" t="s">
        <v>127</v>
      </c>
      <c r="K134" s="4" t="s">
        <v>128</v>
      </c>
    </row>
    <row r="135" spans="2:11">
      <c r="B135" s="1">
        <v>222</v>
      </c>
      <c r="C135" s="4" t="s">
        <v>155</v>
      </c>
      <c r="D135" s="19">
        <f t="shared" ref="D135:D198" si="2">SUM(E135:I135)</f>
        <v>1000</v>
      </c>
      <c r="E135" s="19">
        <f>SUMIF('C1'!$B$6:$B$2228,B135,'C1'!$D$6:$D$2228)</f>
        <v>0</v>
      </c>
      <c r="F135" s="19">
        <f>SUMIF('C2'!$B$6:$B$2228,B135,'C2'!$D$6:$D$2228)</f>
        <v>0</v>
      </c>
      <c r="G135" s="19">
        <f>SUMIF('C3'!$B$6:$B$2228,B135,'C3'!$D$6:$D$2228)</f>
        <v>1000</v>
      </c>
      <c r="H135" s="22"/>
      <c r="I135" s="22"/>
      <c r="J135" s="4" t="s">
        <v>127</v>
      </c>
      <c r="K135" s="4" t="s">
        <v>128</v>
      </c>
    </row>
    <row r="136" spans="2:11">
      <c r="B136" s="1">
        <v>223</v>
      </c>
      <c r="C136" s="4" t="s">
        <v>156</v>
      </c>
      <c r="D136" s="19">
        <f t="shared" si="2"/>
        <v>0</v>
      </c>
      <c r="E136" s="19">
        <f>SUMIF('C1'!$B$6:$B$2228,B136,'C1'!$D$6:$D$2228)</f>
        <v>0</v>
      </c>
      <c r="F136" s="19">
        <f>SUMIF('C2'!$B$6:$B$2228,B136,'C2'!$D$6:$D$2228)</f>
        <v>0</v>
      </c>
      <c r="G136" s="19">
        <f>SUMIF('C3'!$B$6:$B$2228,B136,'C3'!$D$6:$D$2228)</f>
        <v>0</v>
      </c>
      <c r="H136" s="22"/>
      <c r="I136" s="22"/>
      <c r="J136" s="4" t="s">
        <v>127</v>
      </c>
      <c r="K136" s="4" t="s">
        <v>128</v>
      </c>
    </row>
    <row r="137" spans="2:11">
      <c r="B137" s="1">
        <v>225</v>
      </c>
      <c r="C137" s="4" t="s">
        <v>157</v>
      </c>
      <c r="D137" s="19">
        <f t="shared" si="2"/>
        <v>0</v>
      </c>
      <c r="E137" s="19">
        <f>SUMIF('C1'!$B$6:$B$2228,B137,'C1'!$D$6:$D$2228)</f>
        <v>0</v>
      </c>
      <c r="F137" s="19">
        <f>SUMIF('C2'!$B$6:$B$2228,B137,'C2'!$D$6:$D$2228)</f>
        <v>0</v>
      </c>
      <c r="G137" s="19">
        <f>SUMIF('C3'!$B$6:$B$2228,B137,'C3'!$D$6:$D$2228)</f>
        <v>0</v>
      </c>
      <c r="H137" s="22"/>
      <c r="I137" s="22"/>
      <c r="J137" s="4" t="s">
        <v>127</v>
      </c>
      <c r="K137" s="4" t="s">
        <v>128</v>
      </c>
    </row>
    <row r="138" spans="2:11">
      <c r="B138" s="1">
        <v>226</v>
      </c>
      <c r="C138" s="4" t="s">
        <v>158</v>
      </c>
      <c r="D138" s="19">
        <f t="shared" si="2"/>
        <v>0</v>
      </c>
      <c r="E138" s="19">
        <f>SUMIF('C1'!$B$6:$B$2228,B138,'C1'!$D$6:$D$2228)</f>
        <v>0</v>
      </c>
      <c r="F138" s="19">
        <f>SUMIF('C2'!$B$6:$B$2228,B138,'C2'!$D$6:$D$2228)</f>
        <v>0</v>
      </c>
      <c r="G138" s="19">
        <f>SUMIF('C3'!$B$6:$B$2228,B138,'C3'!$D$6:$D$2228)</f>
        <v>0</v>
      </c>
      <c r="H138" s="22"/>
      <c r="I138" s="22"/>
      <c r="J138" s="4" t="s">
        <v>127</v>
      </c>
      <c r="K138" s="4" t="s">
        <v>128</v>
      </c>
    </row>
    <row r="139" spans="2:11">
      <c r="B139" s="1">
        <v>227</v>
      </c>
      <c r="C139" s="4" t="s">
        <v>159</v>
      </c>
      <c r="D139" s="19">
        <f t="shared" si="2"/>
        <v>0</v>
      </c>
      <c r="E139" s="19">
        <f>SUMIF('C1'!$B$6:$B$2228,B139,'C1'!$D$6:$D$2228)</f>
        <v>0</v>
      </c>
      <c r="F139" s="19">
        <f>SUMIF('C2'!$B$6:$B$2228,B139,'C2'!$D$6:$D$2228)</f>
        <v>0</v>
      </c>
      <c r="G139" s="19">
        <f>SUMIF('C3'!$B$6:$B$2228,B139,'C3'!$D$6:$D$2228)</f>
        <v>0</v>
      </c>
      <c r="H139" s="22"/>
      <c r="I139" s="22"/>
      <c r="J139" s="4" t="s">
        <v>127</v>
      </c>
      <c r="K139" s="4" t="s">
        <v>128</v>
      </c>
    </row>
    <row r="140" spans="2:11">
      <c r="B140" s="1">
        <v>231</v>
      </c>
      <c r="C140" s="4" t="s">
        <v>160</v>
      </c>
      <c r="D140" s="19">
        <f t="shared" si="2"/>
        <v>0</v>
      </c>
      <c r="E140" s="19">
        <f>SUMIF('C1'!$B$6:$B$2228,B140,'C1'!$D$6:$D$2228)</f>
        <v>0</v>
      </c>
      <c r="F140" s="19">
        <f>SUMIF('C2'!$B$6:$B$2228,B140,'C2'!$D$6:$D$2228)</f>
        <v>0</v>
      </c>
      <c r="G140" s="19">
        <f>SUMIF('C3'!$B$6:$B$2228,B140,'C3'!$D$6:$D$2228)</f>
        <v>0</v>
      </c>
      <c r="H140" s="22"/>
      <c r="I140" s="22"/>
      <c r="J140" s="4" t="s">
        <v>127</v>
      </c>
      <c r="K140" s="4" t="s">
        <v>128</v>
      </c>
    </row>
    <row r="141" spans="2:11">
      <c r="B141" s="1">
        <v>233</v>
      </c>
      <c r="C141" s="4" t="s">
        <v>161</v>
      </c>
      <c r="D141" s="19">
        <f t="shared" si="2"/>
        <v>0</v>
      </c>
      <c r="E141" s="19">
        <f>SUMIF('C1'!$B$6:$B$2228,B141,'C1'!$D$6:$D$2228)</f>
        <v>0</v>
      </c>
      <c r="F141" s="19">
        <f>SUMIF('C2'!$B$6:$B$2228,B141,'C2'!$D$6:$D$2228)</f>
        <v>0</v>
      </c>
      <c r="G141" s="19">
        <f>SUMIF('C3'!$B$6:$B$2228,B141,'C3'!$D$6:$D$2228)</f>
        <v>0</v>
      </c>
      <c r="H141" s="22"/>
      <c r="I141" s="22"/>
      <c r="J141" s="4" t="s">
        <v>127</v>
      </c>
      <c r="K141" s="4" t="s">
        <v>128</v>
      </c>
    </row>
    <row r="142" spans="2:11">
      <c r="B142" s="1">
        <v>234</v>
      </c>
      <c r="C142" s="4" t="s">
        <v>162</v>
      </c>
      <c r="D142" s="19">
        <f t="shared" si="2"/>
        <v>0</v>
      </c>
      <c r="E142" s="19">
        <f>SUMIF('C1'!$B$6:$B$2228,B142,'C1'!$D$6:$D$2228)</f>
        <v>0</v>
      </c>
      <c r="F142" s="19">
        <f>SUMIF('C2'!$B$6:$B$2228,B142,'C2'!$D$6:$D$2228)</f>
        <v>0</v>
      </c>
      <c r="G142" s="19">
        <f>SUMIF('C3'!$B$6:$B$2228,B142,'C3'!$D$6:$D$2228)</f>
        <v>0</v>
      </c>
      <c r="H142" s="22"/>
      <c r="I142" s="22"/>
      <c r="J142" s="4" t="s">
        <v>127</v>
      </c>
      <c r="K142" s="4" t="s">
        <v>128</v>
      </c>
    </row>
    <row r="143" spans="2:11">
      <c r="B143" s="1">
        <v>236</v>
      </c>
      <c r="C143" s="4" t="s">
        <v>163</v>
      </c>
      <c r="D143" s="19">
        <f t="shared" si="2"/>
        <v>652</v>
      </c>
      <c r="E143" s="19">
        <f>SUMIF('C1'!$B$6:$B$2228,B143,'C1'!$D$6:$D$2228)</f>
        <v>0</v>
      </c>
      <c r="F143" s="19">
        <f>SUMIF('C2'!$B$6:$B$2228,B143,'C2'!$D$6:$D$2228)</f>
        <v>0</v>
      </c>
      <c r="G143" s="19">
        <f>SUMIF('C3'!$B$6:$B$2228,B143,'C3'!$D$6:$D$2228)</f>
        <v>652</v>
      </c>
      <c r="H143" s="22"/>
      <c r="I143" s="22"/>
      <c r="J143" s="4" t="s">
        <v>127</v>
      </c>
      <c r="K143" s="4" t="s">
        <v>128</v>
      </c>
    </row>
    <row r="144" spans="2:11">
      <c r="B144" s="1">
        <v>237</v>
      </c>
      <c r="C144" s="4" t="s">
        <v>164</v>
      </c>
      <c r="D144" s="19">
        <f t="shared" si="2"/>
        <v>0</v>
      </c>
      <c r="E144" s="19">
        <f>SUMIF('C1'!$B$6:$B$2228,B144,'C1'!$D$6:$D$2228)</f>
        <v>0</v>
      </c>
      <c r="F144" s="19">
        <f>SUMIF('C2'!$B$6:$B$2228,B144,'C2'!$D$6:$D$2228)</f>
        <v>0</v>
      </c>
      <c r="G144" s="19">
        <f>SUMIF('C3'!$B$6:$B$2228,B144,'C3'!$D$6:$D$2228)</f>
        <v>0</v>
      </c>
      <c r="H144" s="22"/>
      <c r="I144" s="22"/>
      <c r="J144" s="4" t="s">
        <v>127</v>
      </c>
      <c r="K144" s="4" t="s">
        <v>128</v>
      </c>
    </row>
    <row r="145" spans="2:11">
      <c r="B145" s="1">
        <v>238</v>
      </c>
      <c r="C145" s="4" t="s">
        <v>165</v>
      </c>
      <c r="D145" s="19">
        <f t="shared" si="2"/>
        <v>0</v>
      </c>
      <c r="E145" s="19">
        <f>SUMIF('C1'!$B$6:$B$2228,B145,'C1'!$D$6:$D$2228)</f>
        <v>0</v>
      </c>
      <c r="F145" s="19">
        <f>SUMIF('C2'!$B$6:$B$2228,B145,'C2'!$D$6:$D$2228)</f>
        <v>0</v>
      </c>
      <c r="G145" s="19">
        <f>SUMIF('C3'!$B$6:$B$2228,B145,'C3'!$D$6:$D$2228)</f>
        <v>0</v>
      </c>
      <c r="H145" s="22"/>
      <c r="I145" s="22"/>
      <c r="J145" s="4" t="s">
        <v>127</v>
      </c>
      <c r="K145" s="4" t="s">
        <v>128</v>
      </c>
    </row>
    <row r="146" spans="2:11">
      <c r="B146" s="1">
        <v>239</v>
      </c>
      <c r="C146" s="4" t="s">
        <v>166</v>
      </c>
      <c r="D146" s="19">
        <f t="shared" si="2"/>
        <v>0</v>
      </c>
      <c r="E146" s="19">
        <f>SUMIF('C1'!$B$6:$B$2228,B146,'C1'!$D$6:$D$2228)</f>
        <v>0</v>
      </c>
      <c r="F146" s="19">
        <f>SUMIF('C2'!$B$6:$B$2228,B146,'C2'!$D$6:$D$2228)</f>
        <v>0</v>
      </c>
      <c r="G146" s="19">
        <f>SUMIF('C3'!$B$6:$B$2228,B146,'C3'!$D$6:$D$2228)</f>
        <v>0</v>
      </c>
      <c r="H146" s="22"/>
      <c r="I146" s="22"/>
      <c r="J146" s="4" t="s">
        <v>127</v>
      </c>
      <c r="K146" s="4" t="s">
        <v>128</v>
      </c>
    </row>
    <row r="147" spans="2:11">
      <c r="B147" s="1">
        <v>240</v>
      </c>
      <c r="C147" s="4" t="s">
        <v>167</v>
      </c>
      <c r="D147" s="19">
        <f t="shared" si="2"/>
        <v>0</v>
      </c>
      <c r="E147" s="19">
        <f>SUMIF('C1'!$B$6:$B$2228,B147,'C1'!$D$6:$D$2228)</f>
        <v>0</v>
      </c>
      <c r="F147" s="19">
        <f>SUMIF('C2'!$B$6:$B$2228,B147,'C2'!$D$6:$D$2228)</f>
        <v>0</v>
      </c>
      <c r="G147" s="19">
        <f>SUMIF('C3'!$B$6:$B$2228,B147,'C3'!$D$6:$D$2228)</f>
        <v>0</v>
      </c>
      <c r="H147" s="22"/>
      <c r="I147" s="22"/>
      <c r="J147" s="4" t="s">
        <v>127</v>
      </c>
      <c r="K147" s="4" t="s">
        <v>128</v>
      </c>
    </row>
    <row r="148" spans="2:11">
      <c r="B148" s="1">
        <v>243</v>
      </c>
      <c r="C148" s="4" t="s">
        <v>168</v>
      </c>
      <c r="D148" s="19">
        <f t="shared" si="2"/>
        <v>0</v>
      </c>
      <c r="E148" s="19">
        <f>SUMIF('C1'!$B$6:$B$2228,B148,'C1'!$D$6:$D$2228)</f>
        <v>0</v>
      </c>
      <c r="F148" s="19">
        <f>SUMIF('C2'!$B$6:$B$2228,B148,'C2'!$D$6:$D$2228)</f>
        <v>0</v>
      </c>
      <c r="G148" s="19">
        <f>SUMIF('C3'!$B$6:$B$2228,B148,'C3'!$D$6:$D$2228)</f>
        <v>0</v>
      </c>
      <c r="H148" s="22"/>
      <c r="I148" s="22"/>
      <c r="J148" s="4" t="s">
        <v>127</v>
      </c>
      <c r="K148" s="4" t="s">
        <v>128</v>
      </c>
    </row>
    <row r="149" spans="2:11">
      <c r="B149" s="1">
        <v>244</v>
      </c>
      <c r="C149" s="4" t="s">
        <v>169</v>
      </c>
      <c r="D149" s="19">
        <f t="shared" si="2"/>
        <v>0</v>
      </c>
      <c r="E149" s="19">
        <f>SUMIF('C1'!$B$6:$B$2228,B149,'C1'!$D$6:$D$2228)</f>
        <v>0</v>
      </c>
      <c r="F149" s="19">
        <f>SUMIF('C2'!$B$6:$B$2228,B149,'C2'!$D$6:$D$2228)</f>
        <v>0</v>
      </c>
      <c r="G149" s="19">
        <f>SUMIF('C3'!$B$6:$B$2228,B149,'C3'!$D$6:$D$2228)</f>
        <v>0</v>
      </c>
      <c r="H149" s="22"/>
      <c r="I149" s="22"/>
      <c r="J149" s="4" t="s">
        <v>127</v>
      </c>
      <c r="K149" s="4" t="s">
        <v>128</v>
      </c>
    </row>
    <row r="150" spans="2:11">
      <c r="B150" s="1">
        <v>246</v>
      </c>
      <c r="C150" s="4" t="s">
        <v>170</v>
      </c>
      <c r="D150" s="19">
        <f t="shared" si="2"/>
        <v>0</v>
      </c>
      <c r="E150" s="19">
        <f>SUMIF('C1'!$B$6:$B$2228,B150,'C1'!$D$6:$D$2228)</f>
        <v>0</v>
      </c>
      <c r="F150" s="19">
        <f>SUMIF('C2'!$B$6:$B$2228,B150,'C2'!$D$6:$D$2228)</f>
        <v>0</v>
      </c>
      <c r="G150" s="19">
        <f>SUMIF('C3'!$B$6:$B$2228,B150,'C3'!$D$6:$D$2228)</f>
        <v>0</v>
      </c>
      <c r="H150" s="22"/>
      <c r="I150" s="22"/>
      <c r="J150" s="4" t="s">
        <v>127</v>
      </c>
      <c r="K150" s="4" t="s">
        <v>128</v>
      </c>
    </row>
    <row r="151" spans="2:11">
      <c r="B151" s="1">
        <v>247</v>
      </c>
      <c r="C151" s="4" t="s">
        <v>171</v>
      </c>
      <c r="D151" s="19">
        <f t="shared" si="2"/>
        <v>0</v>
      </c>
      <c r="E151" s="19">
        <f>SUMIF('C1'!$B$6:$B$2228,B151,'C1'!$D$6:$D$2228)</f>
        <v>0</v>
      </c>
      <c r="F151" s="19">
        <f>SUMIF('C2'!$B$6:$B$2228,B151,'C2'!$D$6:$D$2228)</f>
        <v>0</v>
      </c>
      <c r="G151" s="19">
        <f>SUMIF('C3'!$B$6:$B$2228,B151,'C3'!$D$6:$D$2228)</f>
        <v>0</v>
      </c>
      <c r="H151" s="22"/>
      <c r="I151" s="22"/>
      <c r="J151" s="4" t="s">
        <v>127</v>
      </c>
      <c r="K151" s="4" t="s">
        <v>128</v>
      </c>
    </row>
    <row r="152" spans="2:11">
      <c r="B152" s="1">
        <v>248</v>
      </c>
      <c r="C152" s="4" t="s">
        <v>172</v>
      </c>
      <c r="D152" s="19">
        <f t="shared" si="2"/>
        <v>0</v>
      </c>
      <c r="E152" s="19">
        <f>SUMIF('C1'!$B$6:$B$2228,B152,'C1'!$D$6:$D$2228)</f>
        <v>0</v>
      </c>
      <c r="F152" s="19">
        <f>SUMIF('C2'!$B$6:$B$2228,B152,'C2'!$D$6:$D$2228)</f>
        <v>0</v>
      </c>
      <c r="G152" s="19">
        <f>SUMIF('C3'!$B$6:$B$2228,B152,'C3'!$D$6:$D$2228)</f>
        <v>0</v>
      </c>
      <c r="H152" s="22"/>
      <c r="I152" s="22"/>
      <c r="J152" s="4" t="s">
        <v>127</v>
      </c>
      <c r="K152" s="4" t="s">
        <v>128</v>
      </c>
    </row>
    <row r="153" spans="2:11">
      <c r="B153" s="1">
        <v>249</v>
      </c>
      <c r="C153" s="4" t="s">
        <v>173</v>
      </c>
      <c r="D153" s="19">
        <f t="shared" si="2"/>
        <v>0</v>
      </c>
      <c r="E153" s="19">
        <f>SUMIF('C1'!$B$6:$B$2228,B153,'C1'!$D$6:$D$2228)</f>
        <v>0</v>
      </c>
      <c r="F153" s="19">
        <f>SUMIF('C2'!$B$6:$B$2228,B153,'C2'!$D$6:$D$2228)</f>
        <v>0</v>
      </c>
      <c r="G153" s="19">
        <f>SUMIF('C3'!$B$6:$B$2228,B153,'C3'!$D$6:$D$2228)</f>
        <v>0</v>
      </c>
      <c r="H153" s="22"/>
      <c r="I153" s="22"/>
      <c r="J153" s="4" t="s">
        <v>127</v>
      </c>
      <c r="K153" s="4" t="s">
        <v>128</v>
      </c>
    </row>
    <row r="154" spans="2:11">
      <c r="B154" s="1">
        <v>251</v>
      </c>
      <c r="C154" s="4" t="s">
        <v>174</v>
      </c>
      <c r="D154" s="19">
        <f t="shared" si="2"/>
        <v>0</v>
      </c>
      <c r="E154" s="19">
        <f>SUMIF('C1'!$B$6:$B$2228,B154,'C1'!$D$6:$D$2228)</f>
        <v>0</v>
      </c>
      <c r="F154" s="19">
        <f>SUMIF('C2'!$B$6:$B$2228,B154,'C2'!$D$6:$D$2228)</f>
        <v>0</v>
      </c>
      <c r="G154" s="19">
        <f>SUMIF('C3'!$B$6:$B$2228,B154,'C3'!$D$6:$D$2228)</f>
        <v>0</v>
      </c>
      <c r="H154" s="22"/>
      <c r="I154" s="22"/>
      <c r="J154" s="4" t="s">
        <v>127</v>
      </c>
      <c r="K154" s="4" t="s">
        <v>128</v>
      </c>
    </row>
    <row r="155" spans="2:11">
      <c r="B155" s="1">
        <v>252</v>
      </c>
      <c r="C155" s="4" t="s">
        <v>175</v>
      </c>
      <c r="D155" s="19">
        <f t="shared" si="2"/>
        <v>0</v>
      </c>
      <c r="E155" s="19">
        <f>SUMIF('C1'!$B$6:$B$2228,B155,'C1'!$D$6:$D$2228)</f>
        <v>0</v>
      </c>
      <c r="F155" s="19">
        <f>SUMIF('C2'!$B$6:$B$2228,B155,'C2'!$D$6:$D$2228)</f>
        <v>0</v>
      </c>
      <c r="G155" s="19">
        <f>SUMIF('C3'!$B$6:$B$2228,B155,'C3'!$D$6:$D$2228)</f>
        <v>0</v>
      </c>
      <c r="H155" s="22"/>
      <c r="I155" s="22"/>
      <c r="J155" s="4" t="s">
        <v>127</v>
      </c>
      <c r="K155" s="4" t="s">
        <v>128</v>
      </c>
    </row>
    <row r="156" spans="2:11">
      <c r="B156" s="1">
        <v>253</v>
      </c>
      <c r="C156" s="4" t="s">
        <v>176</v>
      </c>
      <c r="D156" s="19">
        <f t="shared" si="2"/>
        <v>0</v>
      </c>
      <c r="E156" s="19">
        <f>SUMIF('C1'!$B$6:$B$2228,B156,'C1'!$D$6:$D$2228)</f>
        <v>0</v>
      </c>
      <c r="F156" s="19">
        <f>SUMIF('C2'!$B$6:$B$2228,B156,'C2'!$D$6:$D$2228)</f>
        <v>0</v>
      </c>
      <c r="G156" s="19">
        <f>SUMIF('C3'!$B$6:$B$2228,B156,'C3'!$D$6:$D$2228)</f>
        <v>0</v>
      </c>
      <c r="H156" s="22"/>
      <c r="I156" s="22"/>
      <c r="J156" s="4" t="s">
        <v>127</v>
      </c>
      <c r="K156" s="4" t="s">
        <v>128</v>
      </c>
    </row>
    <row r="157" spans="2:11">
      <c r="B157" s="1">
        <v>254</v>
      </c>
      <c r="C157" s="4" t="s">
        <v>177</v>
      </c>
      <c r="D157" s="19">
        <f t="shared" si="2"/>
        <v>0</v>
      </c>
      <c r="E157" s="19">
        <f>SUMIF('C1'!$B$6:$B$2228,B157,'C1'!$D$6:$D$2228)</f>
        <v>0</v>
      </c>
      <c r="F157" s="19">
        <f>SUMIF('C2'!$B$6:$B$2228,B157,'C2'!$D$6:$D$2228)</f>
        <v>0</v>
      </c>
      <c r="G157" s="19">
        <f>SUMIF('C3'!$B$6:$B$2228,B157,'C3'!$D$6:$D$2228)</f>
        <v>0</v>
      </c>
      <c r="H157" s="22"/>
      <c r="I157" s="22"/>
      <c r="J157" s="4" t="s">
        <v>127</v>
      </c>
      <c r="K157" s="4" t="s">
        <v>128</v>
      </c>
    </row>
    <row r="158" spans="2:11">
      <c r="B158" s="1">
        <v>255</v>
      </c>
      <c r="C158" s="4" t="s">
        <v>178</v>
      </c>
      <c r="D158" s="19">
        <f t="shared" si="2"/>
        <v>0</v>
      </c>
      <c r="E158" s="19">
        <f>SUMIF('C1'!$B$6:$B$2228,B158,'C1'!$D$6:$D$2228)</f>
        <v>0</v>
      </c>
      <c r="F158" s="19">
        <f>SUMIF('C2'!$B$6:$B$2228,B158,'C2'!$D$6:$D$2228)</f>
        <v>0</v>
      </c>
      <c r="G158" s="19">
        <f>SUMIF('C3'!$B$6:$B$2228,B158,'C3'!$D$6:$D$2228)</f>
        <v>0</v>
      </c>
      <c r="H158" s="22"/>
      <c r="I158" s="22"/>
      <c r="J158" s="4" t="s">
        <v>127</v>
      </c>
      <c r="K158" s="4" t="s">
        <v>128</v>
      </c>
    </row>
    <row r="159" spans="2:11">
      <c r="B159" s="1">
        <v>257</v>
      </c>
      <c r="C159" s="4" t="s">
        <v>179</v>
      </c>
      <c r="D159" s="19">
        <f t="shared" si="2"/>
        <v>0</v>
      </c>
      <c r="E159" s="19">
        <f>SUMIF('C1'!$B$6:$B$2228,B159,'C1'!$D$6:$D$2228)</f>
        <v>0</v>
      </c>
      <c r="F159" s="19">
        <f>SUMIF('C2'!$B$6:$B$2228,B159,'C2'!$D$6:$D$2228)</f>
        <v>0</v>
      </c>
      <c r="G159" s="19">
        <f>SUMIF('C3'!$B$6:$B$2228,B159,'C3'!$D$6:$D$2228)</f>
        <v>0</v>
      </c>
      <c r="H159" s="22"/>
      <c r="I159" s="22"/>
      <c r="J159" s="4" t="s">
        <v>127</v>
      </c>
      <c r="K159" s="4" t="s">
        <v>128</v>
      </c>
    </row>
    <row r="160" spans="2:11">
      <c r="B160" s="1">
        <v>258</v>
      </c>
      <c r="C160" s="4" t="s">
        <v>180</v>
      </c>
      <c r="D160" s="19">
        <f t="shared" si="2"/>
        <v>0</v>
      </c>
      <c r="E160" s="19">
        <f>SUMIF('C1'!$B$6:$B$2228,B160,'C1'!$D$6:$D$2228)</f>
        <v>0</v>
      </c>
      <c r="F160" s="19">
        <f>SUMIF('C2'!$B$6:$B$2228,B160,'C2'!$D$6:$D$2228)</f>
        <v>0</v>
      </c>
      <c r="G160" s="19">
        <f>SUMIF('C3'!$B$6:$B$2228,B160,'C3'!$D$6:$D$2228)</f>
        <v>0</v>
      </c>
      <c r="H160" s="22"/>
      <c r="I160" s="22"/>
      <c r="J160" s="4" t="s">
        <v>127</v>
      </c>
      <c r="K160" s="4" t="s">
        <v>128</v>
      </c>
    </row>
    <row r="161" spans="2:11">
      <c r="B161" s="1">
        <v>259</v>
      </c>
      <c r="C161" s="4" t="s">
        <v>181</v>
      </c>
      <c r="D161" s="19">
        <f t="shared" si="2"/>
        <v>0</v>
      </c>
      <c r="E161" s="19">
        <f>SUMIF('C1'!$B$6:$B$2228,B161,'C1'!$D$6:$D$2228)</f>
        <v>0</v>
      </c>
      <c r="F161" s="19">
        <f>SUMIF('C2'!$B$6:$B$2228,B161,'C2'!$D$6:$D$2228)</f>
        <v>0</v>
      </c>
      <c r="G161" s="19">
        <f>SUMIF('C3'!$B$6:$B$2228,B161,'C3'!$D$6:$D$2228)</f>
        <v>0</v>
      </c>
      <c r="H161" s="22"/>
      <c r="I161" s="22"/>
      <c r="J161" s="4" t="s">
        <v>127</v>
      </c>
      <c r="K161" s="4" t="s">
        <v>128</v>
      </c>
    </row>
    <row r="162" spans="2:11">
      <c r="B162" s="1">
        <v>260</v>
      </c>
      <c r="C162" s="4" t="s">
        <v>182</v>
      </c>
      <c r="D162" s="19">
        <f t="shared" si="2"/>
        <v>0</v>
      </c>
      <c r="E162" s="19">
        <f>SUMIF('C1'!$B$6:$B$2228,B162,'C1'!$D$6:$D$2228)</f>
        <v>0</v>
      </c>
      <c r="F162" s="19">
        <f>SUMIF('C2'!$B$6:$B$2228,B162,'C2'!$D$6:$D$2228)</f>
        <v>0</v>
      </c>
      <c r="G162" s="19">
        <f>SUMIF('C3'!$B$6:$B$2228,B162,'C3'!$D$6:$D$2228)</f>
        <v>0</v>
      </c>
      <c r="H162" s="22"/>
      <c r="I162" s="22"/>
      <c r="J162" s="4" t="s">
        <v>127</v>
      </c>
      <c r="K162" s="4" t="s">
        <v>128</v>
      </c>
    </row>
    <row r="163" spans="2:11">
      <c r="B163" s="1">
        <v>262</v>
      </c>
      <c r="C163" s="4" t="s">
        <v>183</v>
      </c>
      <c r="D163" s="19">
        <f t="shared" si="2"/>
        <v>0</v>
      </c>
      <c r="E163" s="19">
        <f>SUMIF('C1'!$B$6:$B$2228,B163,'C1'!$D$6:$D$2228)</f>
        <v>0</v>
      </c>
      <c r="F163" s="19">
        <f>SUMIF('C2'!$B$6:$B$2228,B163,'C2'!$D$6:$D$2228)</f>
        <v>0</v>
      </c>
      <c r="G163" s="19">
        <f>SUMIF('C3'!$B$6:$B$2228,B163,'C3'!$D$6:$D$2228)</f>
        <v>0</v>
      </c>
      <c r="H163" s="22"/>
      <c r="I163" s="22"/>
      <c r="J163" s="4" t="s">
        <v>127</v>
      </c>
      <c r="K163" s="4" t="s">
        <v>128</v>
      </c>
    </row>
    <row r="164" spans="2:11">
      <c r="B164" s="1">
        <v>263</v>
      </c>
      <c r="C164" s="4" t="s">
        <v>184</v>
      </c>
      <c r="D164" s="19">
        <f t="shared" si="2"/>
        <v>0</v>
      </c>
      <c r="E164" s="19">
        <f>SUMIF('C1'!$B$6:$B$2228,B164,'C1'!$D$6:$D$2228)</f>
        <v>0</v>
      </c>
      <c r="F164" s="19">
        <f>SUMIF('C2'!$B$6:$B$2228,B164,'C2'!$D$6:$D$2228)</f>
        <v>0</v>
      </c>
      <c r="G164" s="19">
        <f>SUMIF('C3'!$B$6:$B$2228,B164,'C3'!$D$6:$D$2228)</f>
        <v>0</v>
      </c>
      <c r="H164" s="22"/>
      <c r="I164" s="22"/>
      <c r="J164" s="4" t="s">
        <v>127</v>
      </c>
      <c r="K164" s="4" t="s">
        <v>128</v>
      </c>
    </row>
    <row r="165" spans="2:11">
      <c r="B165" s="1">
        <v>264</v>
      </c>
      <c r="C165" s="4" t="s">
        <v>185</v>
      </c>
      <c r="D165" s="19">
        <f t="shared" si="2"/>
        <v>0</v>
      </c>
      <c r="E165" s="19">
        <f>SUMIF('C1'!$B$6:$B$2228,B165,'C1'!$D$6:$D$2228)</f>
        <v>0</v>
      </c>
      <c r="F165" s="19">
        <f>SUMIF('C2'!$B$6:$B$2228,B165,'C2'!$D$6:$D$2228)</f>
        <v>0</v>
      </c>
      <c r="G165" s="19">
        <f>SUMIF('C3'!$B$6:$B$2228,B165,'C3'!$D$6:$D$2228)</f>
        <v>0</v>
      </c>
      <c r="H165" s="22"/>
      <c r="I165" s="22"/>
      <c r="J165" s="4" t="s">
        <v>127</v>
      </c>
      <c r="K165" s="4" t="s">
        <v>128</v>
      </c>
    </row>
    <row r="166" spans="2:11">
      <c r="B166" s="1">
        <v>265</v>
      </c>
      <c r="C166" s="4" t="s">
        <v>186</v>
      </c>
      <c r="D166" s="19">
        <f t="shared" si="2"/>
        <v>0</v>
      </c>
      <c r="E166" s="19">
        <f>SUMIF('C1'!$B$6:$B$2228,B166,'C1'!$D$6:$D$2228)</f>
        <v>0</v>
      </c>
      <c r="F166" s="19">
        <f>SUMIF('C2'!$B$6:$B$2228,B166,'C2'!$D$6:$D$2228)</f>
        <v>0</v>
      </c>
      <c r="G166" s="19">
        <f>SUMIF('C3'!$B$6:$B$2228,B166,'C3'!$D$6:$D$2228)</f>
        <v>0</v>
      </c>
      <c r="H166" s="22"/>
      <c r="I166" s="22"/>
      <c r="J166" s="4" t="s">
        <v>127</v>
      </c>
      <c r="K166" s="4" t="s">
        <v>128</v>
      </c>
    </row>
    <row r="167" spans="2:11">
      <c r="B167" s="1">
        <v>266</v>
      </c>
      <c r="C167" s="4" t="s">
        <v>187</v>
      </c>
      <c r="D167" s="19">
        <f t="shared" si="2"/>
        <v>0</v>
      </c>
      <c r="E167" s="19">
        <f>SUMIF('C1'!$B$6:$B$2228,B167,'C1'!$D$6:$D$2228)</f>
        <v>0</v>
      </c>
      <c r="F167" s="19">
        <f>SUMIF('C2'!$B$6:$B$2228,B167,'C2'!$D$6:$D$2228)</f>
        <v>0</v>
      </c>
      <c r="G167" s="19">
        <f>SUMIF('C3'!$B$6:$B$2228,B167,'C3'!$D$6:$D$2228)</f>
        <v>0</v>
      </c>
      <c r="H167" s="22"/>
      <c r="I167" s="22"/>
      <c r="J167" s="4" t="s">
        <v>127</v>
      </c>
      <c r="K167" s="4" t="s">
        <v>128</v>
      </c>
    </row>
    <row r="168" spans="2:11">
      <c r="B168" s="1">
        <v>268</v>
      </c>
      <c r="C168" s="4" t="s">
        <v>188</v>
      </c>
      <c r="D168" s="19">
        <f t="shared" si="2"/>
        <v>0</v>
      </c>
      <c r="E168" s="19">
        <f>SUMIF('C1'!$B$6:$B$2228,B168,'C1'!$D$6:$D$2228)</f>
        <v>0</v>
      </c>
      <c r="F168" s="19">
        <f>SUMIF('C2'!$B$6:$B$2228,B168,'C2'!$D$6:$D$2228)</f>
        <v>0</v>
      </c>
      <c r="G168" s="19">
        <f>SUMIF('C3'!$B$6:$B$2228,B168,'C3'!$D$6:$D$2228)</f>
        <v>0</v>
      </c>
      <c r="H168" s="22"/>
      <c r="I168" s="22"/>
      <c r="J168" s="4" t="s">
        <v>127</v>
      </c>
      <c r="K168" s="4" t="s">
        <v>128</v>
      </c>
    </row>
    <row r="169" spans="2:11">
      <c r="B169" s="1">
        <v>269</v>
      </c>
      <c r="C169" s="4" t="s">
        <v>189</v>
      </c>
      <c r="D169" s="19">
        <f t="shared" si="2"/>
        <v>0</v>
      </c>
      <c r="E169" s="19">
        <f>SUMIF('C1'!$B$6:$B$2228,B169,'C1'!$D$6:$D$2228)</f>
        <v>0</v>
      </c>
      <c r="F169" s="19">
        <f>SUMIF('C2'!$B$6:$B$2228,B169,'C2'!$D$6:$D$2228)</f>
        <v>0</v>
      </c>
      <c r="G169" s="19">
        <f>SUMIF('C3'!$B$6:$B$2228,B169,'C3'!$D$6:$D$2228)</f>
        <v>0</v>
      </c>
      <c r="H169" s="22"/>
      <c r="I169" s="22"/>
      <c r="J169" s="4" t="s">
        <v>127</v>
      </c>
      <c r="K169" s="4" t="s">
        <v>128</v>
      </c>
    </row>
    <row r="170" spans="2:11">
      <c r="B170" s="1">
        <v>270</v>
      </c>
      <c r="C170" s="4" t="s">
        <v>190</v>
      </c>
      <c r="D170" s="19">
        <f t="shared" si="2"/>
        <v>800</v>
      </c>
      <c r="E170" s="19">
        <f>SUMIF('C1'!$B$6:$B$2228,B170,'C1'!$D$6:$D$2228)</f>
        <v>0</v>
      </c>
      <c r="F170" s="19">
        <f>SUMIF('C2'!$B$6:$B$2228,B170,'C2'!$D$6:$D$2228)</f>
        <v>0</v>
      </c>
      <c r="G170" s="19">
        <f>SUMIF('C3'!$B$6:$B$2228,B170,'C3'!$D$6:$D$2228)</f>
        <v>800</v>
      </c>
      <c r="H170" s="22"/>
      <c r="I170" s="22"/>
      <c r="J170" s="4" t="s">
        <v>127</v>
      </c>
      <c r="K170" s="4" t="s">
        <v>128</v>
      </c>
    </row>
    <row r="171" spans="2:11">
      <c r="B171" s="1">
        <v>271</v>
      </c>
      <c r="C171" s="4" t="s">
        <v>191</v>
      </c>
      <c r="D171" s="19">
        <f t="shared" si="2"/>
        <v>0</v>
      </c>
      <c r="E171" s="19">
        <f>SUMIF('C1'!$B$6:$B$2228,B171,'C1'!$D$6:$D$2228)</f>
        <v>0</v>
      </c>
      <c r="F171" s="19">
        <f>SUMIF('C2'!$B$6:$B$2228,B171,'C2'!$D$6:$D$2228)</f>
        <v>0</v>
      </c>
      <c r="G171" s="19">
        <f>SUMIF('C3'!$B$6:$B$2228,B171,'C3'!$D$6:$D$2228)</f>
        <v>0</v>
      </c>
      <c r="H171" s="22"/>
      <c r="I171" s="22"/>
      <c r="J171" s="4" t="s">
        <v>127</v>
      </c>
      <c r="K171" s="4" t="s">
        <v>128</v>
      </c>
    </row>
    <row r="172" spans="2:11">
      <c r="B172" s="1">
        <v>272</v>
      </c>
      <c r="C172" s="4" t="s">
        <v>192</v>
      </c>
      <c r="D172" s="19">
        <f t="shared" si="2"/>
        <v>0</v>
      </c>
      <c r="E172" s="19">
        <f>SUMIF('C1'!$B$6:$B$2228,B172,'C1'!$D$6:$D$2228)</f>
        <v>0</v>
      </c>
      <c r="F172" s="19">
        <f>SUMIF('C2'!$B$6:$B$2228,B172,'C2'!$D$6:$D$2228)</f>
        <v>0</v>
      </c>
      <c r="G172" s="19">
        <f>SUMIF('C3'!$B$6:$B$2228,B172,'C3'!$D$6:$D$2228)</f>
        <v>0</v>
      </c>
      <c r="H172" s="22"/>
      <c r="I172" s="22"/>
      <c r="J172" s="4" t="s">
        <v>127</v>
      </c>
      <c r="K172" s="4" t="s">
        <v>128</v>
      </c>
    </row>
    <row r="173" spans="2:11">
      <c r="B173" s="1">
        <v>274</v>
      </c>
      <c r="C173" s="4" t="s">
        <v>193</v>
      </c>
      <c r="D173" s="19">
        <f t="shared" si="2"/>
        <v>0</v>
      </c>
      <c r="E173" s="19">
        <f>SUMIF('C1'!$B$6:$B$2228,B173,'C1'!$D$6:$D$2228)</f>
        <v>0</v>
      </c>
      <c r="F173" s="19">
        <f>SUMIF('C2'!$B$6:$B$2228,B173,'C2'!$D$6:$D$2228)</f>
        <v>0</v>
      </c>
      <c r="G173" s="19">
        <f>SUMIF('C3'!$B$6:$B$2228,B173,'C3'!$D$6:$D$2228)</f>
        <v>0</v>
      </c>
      <c r="H173" s="22"/>
      <c r="I173" s="22"/>
      <c r="J173" s="4" t="s">
        <v>127</v>
      </c>
      <c r="K173" s="4" t="s">
        <v>128</v>
      </c>
    </row>
    <row r="174" spans="2:11">
      <c r="B174" s="1">
        <v>275</v>
      </c>
      <c r="C174" s="4" t="s">
        <v>194</v>
      </c>
      <c r="D174" s="19">
        <f t="shared" si="2"/>
        <v>0</v>
      </c>
      <c r="E174" s="19">
        <f>SUMIF('C1'!$B$6:$B$2228,B174,'C1'!$D$6:$D$2228)</f>
        <v>0</v>
      </c>
      <c r="F174" s="19">
        <f>SUMIF('C2'!$B$6:$B$2228,B174,'C2'!$D$6:$D$2228)</f>
        <v>0</v>
      </c>
      <c r="G174" s="19">
        <f>SUMIF('C3'!$B$6:$B$2228,B174,'C3'!$D$6:$D$2228)</f>
        <v>0</v>
      </c>
      <c r="H174" s="22"/>
      <c r="I174" s="22"/>
      <c r="J174" s="4" t="s">
        <v>127</v>
      </c>
      <c r="K174" s="4" t="s">
        <v>128</v>
      </c>
    </row>
    <row r="175" spans="2:11">
      <c r="B175" s="1">
        <v>276</v>
      </c>
      <c r="C175" s="4" t="s">
        <v>195</v>
      </c>
      <c r="D175" s="19">
        <f t="shared" si="2"/>
        <v>0</v>
      </c>
      <c r="E175" s="19">
        <f>SUMIF('C1'!$B$6:$B$2228,B175,'C1'!$D$6:$D$2228)</f>
        <v>0</v>
      </c>
      <c r="F175" s="19">
        <f>SUMIF('C2'!$B$6:$B$2228,B175,'C2'!$D$6:$D$2228)</f>
        <v>0</v>
      </c>
      <c r="G175" s="19">
        <f>SUMIF('C3'!$B$6:$B$2228,B175,'C3'!$D$6:$D$2228)</f>
        <v>0</v>
      </c>
      <c r="H175" s="22"/>
      <c r="I175" s="22"/>
      <c r="J175" s="4" t="s">
        <v>127</v>
      </c>
      <c r="K175" s="4" t="s">
        <v>128</v>
      </c>
    </row>
    <row r="176" spans="2:11">
      <c r="B176" s="1">
        <v>277</v>
      </c>
      <c r="C176" s="4" t="s">
        <v>196</v>
      </c>
      <c r="D176" s="19">
        <f t="shared" si="2"/>
        <v>0</v>
      </c>
      <c r="E176" s="19">
        <f>SUMIF('C1'!$B$6:$B$2228,B176,'C1'!$D$6:$D$2228)</f>
        <v>0</v>
      </c>
      <c r="F176" s="19">
        <f>SUMIF('C2'!$B$6:$B$2228,B176,'C2'!$D$6:$D$2228)</f>
        <v>0</v>
      </c>
      <c r="G176" s="19">
        <f>SUMIF('C3'!$B$6:$B$2228,B176,'C3'!$D$6:$D$2228)</f>
        <v>0</v>
      </c>
      <c r="H176" s="22"/>
      <c r="I176" s="22"/>
      <c r="J176" s="4" t="s">
        <v>127</v>
      </c>
      <c r="K176" s="4" t="s">
        <v>128</v>
      </c>
    </row>
    <row r="177" spans="2:11">
      <c r="B177" s="1">
        <v>278</v>
      </c>
      <c r="C177" s="4" t="s">
        <v>197</v>
      </c>
      <c r="D177" s="19">
        <f t="shared" si="2"/>
        <v>0</v>
      </c>
      <c r="E177" s="19">
        <f>SUMIF('C1'!$B$6:$B$2228,B177,'C1'!$D$6:$D$2228)</f>
        <v>0</v>
      </c>
      <c r="F177" s="19">
        <f>SUMIF('C2'!$B$6:$B$2228,B177,'C2'!$D$6:$D$2228)</f>
        <v>0</v>
      </c>
      <c r="G177" s="19">
        <f>SUMIF('C3'!$B$6:$B$2228,B177,'C3'!$D$6:$D$2228)</f>
        <v>0</v>
      </c>
      <c r="H177" s="22"/>
      <c r="I177" s="22"/>
      <c r="J177" s="4" t="s">
        <v>127</v>
      </c>
      <c r="K177" s="4" t="s">
        <v>128</v>
      </c>
    </row>
    <row r="178" spans="2:11">
      <c r="B178" s="1">
        <v>279</v>
      </c>
      <c r="C178" s="4" t="s">
        <v>198</v>
      </c>
      <c r="D178" s="19">
        <f t="shared" si="2"/>
        <v>0</v>
      </c>
      <c r="E178" s="19">
        <f>SUMIF('C1'!$B$6:$B$2228,B178,'C1'!$D$6:$D$2228)</f>
        <v>0</v>
      </c>
      <c r="F178" s="19">
        <f>SUMIF('C2'!$B$6:$B$2228,B178,'C2'!$D$6:$D$2228)</f>
        <v>0</v>
      </c>
      <c r="G178" s="19">
        <f>SUMIF('C3'!$B$6:$B$2228,B178,'C3'!$D$6:$D$2228)</f>
        <v>0</v>
      </c>
      <c r="H178" s="22"/>
      <c r="I178" s="22"/>
      <c r="J178" s="4" t="s">
        <v>127</v>
      </c>
      <c r="K178" s="4" t="s">
        <v>128</v>
      </c>
    </row>
    <row r="179" spans="2:11">
      <c r="B179" s="1">
        <v>280</v>
      </c>
      <c r="C179" s="4" t="s">
        <v>199</v>
      </c>
      <c r="D179" s="19">
        <f t="shared" si="2"/>
        <v>0</v>
      </c>
      <c r="E179" s="19">
        <f>SUMIF('C1'!$B$6:$B$2228,B179,'C1'!$D$6:$D$2228)</f>
        <v>0</v>
      </c>
      <c r="F179" s="19">
        <f>SUMIF('C2'!$B$6:$B$2228,B179,'C2'!$D$6:$D$2228)</f>
        <v>0</v>
      </c>
      <c r="G179" s="19">
        <f>SUMIF('C3'!$B$6:$B$2228,B179,'C3'!$D$6:$D$2228)</f>
        <v>0</v>
      </c>
      <c r="H179" s="22"/>
      <c r="I179" s="22"/>
      <c r="J179" s="4" t="s">
        <v>127</v>
      </c>
      <c r="K179" s="4" t="s">
        <v>150</v>
      </c>
    </row>
    <row r="180" spans="2:11">
      <c r="B180" s="1">
        <v>282</v>
      </c>
      <c r="C180" s="4" t="s">
        <v>200</v>
      </c>
      <c r="D180" s="19">
        <f t="shared" si="2"/>
        <v>0</v>
      </c>
      <c r="E180" s="19">
        <f>SUMIF('C1'!$B$6:$B$2228,B180,'C1'!$D$6:$D$2228)</f>
        <v>0</v>
      </c>
      <c r="F180" s="19">
        <f>SUMIF('C2'!$B$6:$B$2228,B180,'C2'!$D$6:$D$2228)</f>
        <v>0</v>
      </c>
      <c r="G180" s="19">
        <f>SUMIF('C3'!$B$6:$B$2228,B180,'C3'!$D$6:$D$2228)</f>
        <v>0</v>
      </c>
      <c r="H180" s="22"/>
      <c r="I180" s="22"/>
      <c r="J180" s="4" t="s">
        <v>127</v>
      </c>
      <c r="K180" s="4" t="s">
        <v>150</v>
      </c>
    </row>
    <row r="181" spans="2:11">
      <c r="B181" s="1">
        <v>283</v>
      </c>
      <c r="C181" s="4" t="s">
        <v>201</v>
      </c>
      <c r="D181" s="19">
        <f t="shared" si="2"/>
        <v>0</v>
      </c>
      <c r="E181" s="19">
        <f>SUMIF('C1'!$B$6:$B$2228,B181,'C1'!$D$6:$D$2228)</f>
        <v>0</v>
      </c>
      <c r="F181" s="19">
        <f>SUMIF('C2'!$B$6:$B$2228,B181,'C2'!$D$6:$D$2228)</f>
        <v>0</v>
      </c>
      <c r="G181" s="19">
        <f>SUMIF('C3'!$B$6:$B$2228,B181,'C3'!$D$6:$D$2228)</f>
        <v>0</v>
      </c>
      <c r="H181" s="22"/>
      <c r="I181" s="22"/>
      <c r="J181" s="4" t="s">
        <v>127</v>
      </c>
      <c r="K181" s="4" t="s">
        <v>150</v>
      </c>
    </row>
    <row r="182" spans="2:11">
      <c r="B182" s="1">
        <v>288</v>
      </c>
      <c r="C182" s="4" t="s">
        <v>202</v>
      </c>
      <c r="D182" s="19">
        <f t="shared" si="2"/>
        <v>0</v>
      </c>
      <c r="E182" s="19">
        <f>SUMIF('C1'!$B$6:$B$2228,B182,'C1'!$D$6:$D$2228)</f>
        <v>0</v>
      </c>
      <c r="F182" s="19">
        <f>SUMIF('C2'!$B$6:$B$2228,B182,'C2'!$D$6:$D$2228)</f>
        <v>0</v>
      </c>
      <c r="G182" s="19">
        <f>SUMIF('C3'!$B$6:$B$2228,B182,'C3'!$D$6:$D$2228)</f>
        <v>0</v>
      </c>
      <c r="H182" s="22"/>
      <c r="I182" s="22"/>
      <c r="J182" s="4" t="s">
        <v>127</v>
      </c>
      <c r="K182" s="4" t="s">
        <v>150</v>
      </c>
    </row>
    <row r="183" spans="2:11">
      <c r="B183" s="1">
        <v>289</v>
      </c>
      <c r="C183" s="4" t="s">
        <v>203</v>
      </c>
      <c r="D183" s="19">
        <f t="shared" si="2"/>
        <v>0</v>
      </c>
      <c r="E183" s="19">
        <f>SUMIF('C1'!$B$6:$B$2228,B183,'C1'!$D$6:$D$2228)</f>
        <v>0</v>
      </c>
      <c r="F183" s="19">
        <f>SUMIF('C2'!$B$6:$B$2228,B183,'C2'!$D$6:$D$2228)</f>
        <v>0</v>
      </c>
      <c r="G183" s="19">
        <f>SUMIF('C3'!$B$6:$B$2228,B183,'C3'!$D$6:$D$2228)</f>
        <v>0</v>
      </c>
      <c r="H183" s="22"/>
      <c r="I183" s="22"/>
      <c r="J183" s="4" t="s">
        <v>127</v>
      </c>
      <c r="K183" s="4" t="s">
        <v>150</v>
      </c>
    </row>
    <row r="184" spans="2:11">
      <c r="B184" s="1">
        <v>290</v>
      </c>
      <c r="C184" s="4" t="s">
        <v>204</v>
      </c>
      <c r="D184" s="19">
        <f t="shared" si="2"/>
        <v>0</v>
      </c>
      <c r="E184" s="19">
        <f>SUMIF('C1'!$B$6:$B$2228,B184,'C1'!$D$6:$D$2228)</f>
        <v>0</v>
      </c>
      <c r="F184" s="19">
        <f>SUMIF('C2'!$B$6:$B$2228,B184,'C2'!$D$6:$D$2228)</f>
        <v>0</v>
      </c>
      <c r="G184" s="19">
        <f>SUMIF('C3'!$B$6:$B$2228,B184,'C3'!$D$6:$D$2228)</f>
        <v>0</v>
      </c>
      <c r="H184" s="22"/>
      <c r="I184" s="22"/>
      <c r="J184" s="4" t="s">
        <v>127</v>
      </c>
      <c r="K184" s="4" t="s">
        <v>150</v>
      </c>
    </row>
    <row r="185" spans="2:11">
      <c r="B185" s="1">
        <v>291</v>
      </c>
      <c r="C185" s="4" t="s">
        <v>205</v>
      </c>
      <c r="D185" s="19">
        <f t="shared" si="2"/>
        <v>3547</v>
      </c>
      <c r="E185" s="19">
        <f>SUMIF('C1'!$B$6:$B$2228,B185,'C1'!$D$6:$D$2228)</f>
        <v>0</v>
      </c>
      <c r="F185" s="19">
        <f>SUMIF('C2'!$B$6:$B$2228,B185,'C2'!$D$6:$D$2228)</f>
        <v>3547</v>
      </c>
      <c r="G185" s="19">
        <f>SUMIF('C3'!$B$6:$B$2228,B185,'C3'!$D$6:$D$2228)</f>
        <v>0</v>
      </c>
      <c r="H185" s="22"/>
      <c r="I185" s="22"/>
      <c r="J185" s="4" t="s">
        <v>127</v>
      </c>
      <c r="K185" s="4" t="s">
        <v>150</v>
      </c>
    </row>
    <row r="186" spans="2:11">
      <c r="B186" s="1">
        <v>296</v>
      </c>
      <c r="C186" s="4" t="s">
        <v>206</v>
      </c>
      <c r="D186" s="19">
        <f t="shared" si="2"/>
        <v>0</v>
      </c>
      <c r="E186" s="19">
        <f>SUMIF('C1'!$B$6:$B$2228,B186,'C1'!$D$6:$D$2228)</f>
        <v>0</v>
      </c>
      <c r="F186" s="19">
        <f>SUMIF('C2'!$B$6:$B$2228,B186,'C2'!$D$6:$D$2228)</f>
        <v>0</v>
      </c>
      <c r="G186" s="19">
        <f>SUMIF('C3'!$B$6:$B$2228,B186,'C3'!$D$6:$D$2228)</f>
        <v>0</v>
      </c>
      <c r="H186" s="22"/>
      <c r="I186" s="22"/>
      <c r="J186" s="4" t="s">
        <v>127</v>
      </c>
      <c r="K186" s="4" t="s">
        <v>150</v>
      </c>
    </row>
    <row r="187" spans="2:11">
      <c r="B187" s="1">
        <v>297</v>
      </c>
      <c r="C187" s="4" t="s">
        <v>207</v>
      </c>
      <c r="D187" s="19">
        <f t="shared" si="2"/>
        <v>0</v>
      </c>
      <c r="E187" s="19">
        <f>SUMIF('C1'!$B$6:$B$2228,B187,'C1'!$D$6:$D$2228)</f>
        <v>0</v>
      </c>
      <c r="F187" s="19">
        <f>SUMIF('C2'!$B$6:$B$2228,B187,'C2'!$D$6:$D$2228)</f>
        <v>0</v>
      </c>
      <c r="G187" s="19">
        <f>SUMIF('C3'!$B$6:$B$2228,B187,'C3'!$D$6:$D$2228)</f>
        <v>0</v>
      </c>
      <c r="H187" s="22"/>
      <c r="I187" s="22"/>
      <c r="J187" s="4" t="s">
        <v>127</v>
      </c>
      <c r="K187" s="4" t="s">
        <v>150</v>
      </c>
    </row>
    <row r="188" spans="2:11">
      <c r="B188" s="1">
        <v>298</v>
      </c>
      <c r="C188" s="4" t="s">
        <v>208</v>
      </c>
      <c r="D188" s="19">
        <f t="shared" si="2"/>
        <v>0</v>
      </c>
      <c r="E188" s="19">
        <f>SUMIF('C1'!$B$6:$B$2228,B188,'C1'!$D$6:$D$2228)</f>
        <v>0</v>
      </c>
      <c r="F188" s="19">
        <f>SUMIF('C2'!$B$6:$B$2228,B188,'C2'!$D$6:$D$2228)</f>
        <v>0</v>
      </c>
      <c r="G188" s="19">
        <f>SUMIF('C3'!$B$6:$B$2228,B188,'C3'!$D$6:$D$2228)</f>
        <v>0</v>
      </c>
      <c r="H188" s="22"/>
      <c r="I188" s="22"/>
      <c r="J188" s="4" t="s">
        <v>127</v>
      </c>
      <c r="K188" s="4" t="s">
        <v>150</v>
      </c>
    </row>
    <row r="189" spans="2:11">
      <c r="B189" s="1">
        <v>300</v>
      </c>
      <c r="C189" s="4" t="s">
        <v>209</v>
      </c>
      <c r="D189" s="19">
        <f t="shared" si="2"/>
        <v>0</v>
      </c>
      <c r="E189" s="19">
        <f>SUMIF('C1'!$B$6:$B$2228,B189,'C1'!$D$6:$D$2228)</f>
        <v>0</v>
      </c>
      <c r="F189" s="19">
        <f>SUMIF('C2'!$B$6:$B$2228,B189,'C2'!$D$6:$D$2228)</f>
        <v>0</v>
      </c>
      <c r="G189" s="19">
        <f>SUMIF('C3'!$B$6:$B$2228,B189,'C3'!$D$6:$D$2228)</f>
        <v>0</v>
      </c>
      <c r="H189" s="22"/>
      <c r="I189" s="22"/>
      <c r="J189" s="4" t="s">
        <v>127</v>
      </c>
      <c r="K189" s="4" t="s">
        <v>150</v>
      </c>
    </row>
    <row r="190" spans="2:11">
      <c r="B190" s="1">
        <v>301</v>
      </c>
      <c r="C190" s="4" t="s">
        <v>210</v>
      </c>
      <c r="D190" s="19">
        <f t="shared" si="2"/>
        <v>0</v>
      </c>
      <c r="E190" s="19">
        <f>SUMIF('C1'!$B$6:$B$2228,B190,'C1'!$D$6:$D$2228)</f>
        <v>0</v>
      </c>
      <c r="F190" s="19">
        <f>SUMIF('C2'!$B$6:$B$2228,B190,'C2'!$D$6:$D$2228)</f>
        <v>0</v>
      </c>
      <c r="G190" s="19">
        <f>SUMIF('C3'!$B$6:$B$2228,B190,'C3'!$D$6:$D$2228)</f>
        <v>0</v>
      </c>
      <c r="H190" s="22"/>
      <c r="I190" s="22"/>
      <c r="J190" s="4" t="s">
        <v>127</v>
      </c>
      <c r="K190" s="4" t="s">
        <v>150</v>
      </c>
    </row>
    <row r="191" spans="2:11">
      <c r="B191" s="1">
        <v>315</v>
      </c>
      <c r="C191" s="4" t="s">
        <v>211</v>
      </c>
      <c r="D191" s="19">
        <f t="shared" si="2"/>
        <v>0</v>
      </c>
      <c r="E191" s="19">
        <f>SUMIF('C1'!$B$6:$B$2228,B191,'C1'!$D$6:$D$2228)</f>
        <v>0</v>
      </c>
      <c r="F191" s="19">
        <f>SUMIF('C2'!$B$6:$B$2228,B191,'C2'!$D$6:$D$2228)</f>
        <v>0</v>
      </c>
      <c r="G191" s="19">
        <f>SUMIF('C3'!$B$6:$B$2228,B191,'C3'!$D$6:$D$2228)</f>
        <v>0</v>
      </c>
      <c r="H191" s="22"/>
      <c r="I191" s="22"/>
      <c r="J191" s="4" t="s">
        <v>127</v>
      </c>
      <c r="K191" s="4" t="s">
        <v>150</v>
      </c>
    </row>
    <row r="192" spans="2:11">
      <c r="B192" s="1">
        <v>317</v>
      </c>
      <c r="C192" s="4" t="s">
        <v>212</v>
      </c>
      <c r="D192" s="19">
        <f t="shared" si="2"/>
        <v>0</v>
      </c>
      <c r="E192" s="19">
        <f>SUMIF('C1'!$B$6:$B$2228,B192,'C1'!$D$6:$D$2228)</f>
        <v>0</v>
      </c>
      <c r="F192" s="19">
        <f>SUMIF('C2'!$B$6:$B$2228,B192,'C2'!$D$6:$D$2228)</f>
        <v>0</v>
      </c>
      <c r="G192" s="19">
        <f>SUMIF('C3'!$B$6:$B$2228,B192,'C3'!$D$6:$D$2228)</f>
        <v>0</v>
      </c>
      <c r="H192" s="22"/>
      <c r="I192" s="22"/>
      <c r="J192" s="4" t="s">
        <v>127</v>
      </c>
      <c r="K192" s="4" t="s">
        <v>150</v>
      </c>
    </row>
    <row r="193" spans="2:11">
      <c r="B193" s="1">
        <v>319</v>
      </c>
      <c r="C193" s="4" t="s">
        <v>213</v>
      </c>
      <c r="D193" s="19">
        <f t="shared" si="2"/>
        <v>1520</v>
      </c>
      <c r="E193" s="19">
        <f>SUMIF('C1'!$B$6:$B$2228,B193,'C1'!$D$6:$D$2228)</f>
        <v>0</v>
      </c>
      <c r="F193" s="19">
        <f>SUMIF('C2'!$B$6:$B$2228,B193,'C2'!$D$6:$D$2228)</f>
        <v>1520</v>
      </c>
      <c r="G193" s="19">
        <f>SUMIF('C3'!$B$6:$B$2228,B193,'C3'!$D$6:$D$2228)</f>
        <v>0</v>
      </c>
      <c r="H193" s="22"/>
      <c r="I193" s="22"/>
      <c r="J193" s="4" t="s">
        <v>127</v>
      </c>
      <c r="K193" s="4" t="s">
        <v>150</v>
      </c>
    </row>
    <row r="194" spans="2:11">
      <c r="B194" s="1">
        <v>320</v>
      </c>
      <c r="C194" s="4" t="s">
        <v>214</v>
      </c>
      <c r="D194" s="19">
        <f t="shared" si="2"/>
        <v>0</v>
      </c>
      <c r="E194" s="19">
        <f>SUMIF('C1'!$B$6:$B$2228,B194,'C1'!$D$6:$D$2228)</f>
        <v>0</v>
      </c>
      <c r="F194" s="19">
        <f>SUMIF('C2'!$B$6:$B$2228,B194,'C2'!$D$6:$D$2228)</f>
        <v>0</v>
      </c>
      <c r="G194" s="19">
        <f>SUMIF('C3'!$B$6:$B$2228,B194,'C3'!$D$6:$D$2228)</f>
        <v>0</v>
      </c>
      <c r="H194" s="22"/>
      <c r="I194" s="22"/>
      <c r="J194" s="4" t="s">
        <v>127</v>
      </c>
      <c r="K194" s="4" t="s">
        <v>150</v>
      </c>
    </row>
    <row r="195" spans="2:11">
      <c r="B195" s="1">
        <v>322</v>
      </c>
      <c r="C195" s="4" t="s">
        <v>215</v>
      </c>
      <c r="D195" s="19">
        <f t="shared" si="2"/>
        <v>0</v>
      </c>
      <c r="E195" s="19">
        <f>SUMIF('C1'!$B$6:$B$2228,B195,'C1'!$D$6:$D$2228)</f>
        <v>0</v>
      </c>
      <c r="F195" s="19">
        <f>SUMIF('C2'!$B$6:$B$2228,B195,'C2'!$D$6:$D$2228)</f>
        <v>0</v>
      </c>
      <c r="G195" s="19">
        <f>SUMIF('C3'!$B$6:$B$2228,B195,'C3'!$D$6:$D$2228)</f>
        <v>0</v>
      </c>
      <c r="H195" s="22"/>
      <c r="I195" s="22"/>
      <c r="J195" s="4" t="s">
        <v>127</v>
      </c>
      <c r="K195" s="4" t="s">
        <v>150</v>
      </c>
    </row>
    <row r="196" spans="2:11">
      <c r="B196" s="1">
        <v>323</v>
      </c>
      <c r="C196" s="4" t="s">
        <v>216</v>
      </c>
      <c r="D196" s="19">
        <f t="shared" si="2"/>
        <v>0</v>
      </c>
      <c r="E196" s="19">
        <f>SUMIF('C1'!$B$6:$B$2228,B196,'C1'!$D$6:$D$2228)</f>
        <v>0</v>
      </c>
      <c r="F196" s="19">
        <f>SUMIF('C2'!$B$6:$B$2228,B196,'C2'!$D$6:$D$2228)</f>
        <v>0</v>
      </c>
      <c r="G196" s="19">
        <f>SUMIF('C3'!$B$6:$B$2228,B196,'C3'!$D$6:$D$2228)</f>
        <v>0</v>
      </c>
      <c r="H196" s="22"/>
      <c r="I196" s="22"/>
      <c r="J196" s="4" t="s">
        <v>127</v>
      </c>
      <c r="K196" s="4" t="s">
        <v>150</v>
      </c>
    </row>
    <row r="197" spans="2:11">
      <c r="B197" s="1">
        <v>324</v>
      </c>
      <c r="C197" s="4" t="s">
        <v>217</v>
      </c>
      <c r="D197" s="19">
        <f t="shared" si="2"/>
        <v>0</v>
      </c>
      <c r="E197" s="19">
        <f>SUMIF('C1'!$B$6:$B$2228,B197,'C1'!$D$6:$D$2228)</f>
        <v>0</v>
      </c>
      <c r="F197" s="19">
        <f>SUMIF('C2'!$B$6:$B$2228,B197,'C2'!$D$6:$D$2228)</f>
        <v>0</v>
      </c>
      <c r="G197" s="19">
        <f>SUMIF('C3'!$B$6:$B$2228,B197,'C3'!$D$6:$D$2228)</f>
        <v>0</v>
      </c>
      <c r="H197" s="22"/>
      <c r="I197" s="22"/>
      <c r="J197" s="4" t="s">
        <v>127</v>
      </c>
      <c r="K197" s="4" t="s">
        <v>148</v>
      </c>
    </row>
    <row r="198" spans="2:11">
      <c r="B198" s="1">
        <v>325</v>
      </c>
      <c r="C198" s="4" t="s">
        <v>218</v>
      </c>
      <c r="D198" s="19">
        <f t="shared" si="2"/>
        <v>0</v>
      </c>
      <c r="E198" s="19">
        <f>SUMIF('C1'!$B$6:$B$2228,B198,'C1'!$D$6:$D$2228)</f>
        <v>0</v>
      </c>
      <c r="F198" s="19">
        <f>SUMIF('C2'!$B$6:$B$2228,B198,'C2'!$D$6:$D$2228)</f>
        <v>0</v>
      </c>
      <c r="G198" s="19">
        <f>SUMIF('C3'!$B$6:$B$2228,B198,'C3'!$D$6:$D$2228)</f>
        <v>0</v>
      </c>
      <c r="H198" s="22"/>
      <c r="I198" s="22"/>
      <c r="J198" s="4" t="s">
        <v>127</v>
      </c>
      <c r="K198" s="4" t="s">
        <v>148</v>
      </c>
    </row>
    <row r="199" spans="2:11">
      <c r="B199" s="1">
        <v>326</v>
      </c>
      <c r="C199" s="4" t="s">
        <v>219</v>
      </c>
      <c r="D199" s="19">
        <f t="shared" ref="D199:D262" si="3">SUM(E199:I199)</f>
        <v>0</v>
      </c>
      <c r="E199" s="19">
        <f>SUMIF('C1'!$B$6:$B$2228,B199,'C1'!$D$6:$D$2228)</f>
        <v>0</v>
      </c>
      <c r="F199" s="19">
        <f>SUMIF('C2'!$B$6:$B$2228,B199,'C2'!$D$6:$D$2228)</f>
        <v>0</v>
      </c>
      <c r="G199" s="19">
        <f>SUMIF('C3'!$B$6:$B$2228,B199,'C3'!$D$6:$D$2228)</f>
        <v>0</v>
      </c>
      <c r="H199" s="22"/>
      <c r="I199" s="22"/>
      <c r="J199" s="4" t="s">
        <v>127</v>
      </c>
      <c r="K199" s="4" t="s">
        <v>148</v>
      </c>
    </row>
    <row r="200" spans="2:11">
      <c r="B200" s="1">
        <v>328</v>
      </c>
      <c r="C200" s="4" t="s">
        <v>220</v>
      </c>
      <c r="D200" s="19">
        <f t="shared" si="3"/>
        <v>0</v>
      </c>
      <c r="E200" s="19">
        <f>SUMIF('C1'!$B$6:$B$2228,B200,'C1'!$D$6:$D$2228)</f>
        <v>0</v>
      </c>
      <c r="F200" s="19">
        <f>SUMIF('C2'!$B$6:$B$2228,B200,'C2'!$D$6:$D$2228)</f>
        <v>0</v>
      </c>
      <c r="G200" s="19">
        <f>SUMIF('C3'!$B$6:$B$2228,B200,'C3'!$D$6:$D$2228)</f>
        <v>0</v>
      </c>
      <c r="H200" s="22"/>
      <c r="I200" s="22"/>
      <c r="J200" s="4" t="s">
        <v>127</v>
      </c>
      <c r="K200" s="4" t="s">
        <v>148</v>
      </c>
    </row>
    <row r="201" spans="2:11">
      <c r="B201" s="1">
        <v>329</v>
      </c>
      <c r="C201" s="4" t="s">
        <v>221</v>
      </c>
      <c r="D201" s="19">
        <f t="shared" si="3"/>
        <v>0</v>
      </c>
      <c r="E201" s="19">
        <f>SUMIF('C1'!$B$6:$B$2228,B201,'C1'!$D$6:$D$2228)</f>
        <v>0</v>
      </c>
      <c r="F201" s="19">
        <f>SUMIF('C2'!$B$6:$B$2228,B201,'C2'!$D$6:$D$2228)</f>
        <v>0</v>
      </c>
      <c r="G201" s="19">
        <f>SUMIF('C3'!$B$6:$B$2228,B201,'C3'!$D$6:$D$2228)</f>
        <v>0</v>
      </c>
      <c r="H201" s="22"/>
      <c r="I201" s="22"/>
      <c r="J201" s="4" t="s">
        <v>127</v>
      </c>
      <c r="K201" s="4" t="s">
        <v>148</v>
      </c>
    </row>
    <row r="202" spans="2:11">
      <c r="B202" s="1">
        <v>330</v>
      </c>
      <c r="C202" s="4" t="s">
        <v>222</v>
      </c>
      <c r="D202" s="19">
        <f t="shared" si="3"/>
        <v>0</v>
      </c>
      <c r="E202" s="19">
        <f>SUMIF('C1'!$B$6:$B$2228,B202,'C1'!$D$6:$D$2228)</f>
        <v>0</v>
      </c>
      <c r="F202" s="19">
        <f>SUMIF('C2'!$B$6:$B$2228,B202,'C2'!$D$6:$D$2228)</f>
        <v>0</v>
      </c>
      <c r="G202" s="19">
        <f>SUMIF('C3'!$B$6:$B$2228,B202,'C3'!$D$6:$D$2228)</f>
        <v>0</v>
      </c>
      <c r="H202" s="22"/>
      <c r="I202" s="22"/>
      <c r="J202" s="4" t="s">
        <v>127</v>
      </c>
      <c r="K202" s="4" t="s">
        <v>148</v>
      </c>
    </row>
    <row r="203" spans="2:11">
      <c r="B203" s="1">
        <v>331</v>
      </c>
      <c r="C203" s="4" t="s">
        <v>223</v>
      </c>
      <c r="D203" s="19">
        <f t="shared" si="3"/>
        <v>0</v>
      </c>
      <c r="E203" s="19">
        <f>SUMIF('C1'!$B$6:$B$2228,B203,'C1'!$D$6:$D$2228)</f>
        <v>0</v>
      </c>
      <c r="F203" s="19">
        <f>SUMIF('C2'!$B$6:$B$2228,B203,'C2'!$D$6:$D$2228)</f>
        <v>0</v>
      </c>
      <c r="G203" s="19">
        <f>SUMIF('C3'!$B$6:$B$2228,B203,'C3'!$D$6:$D$2228)</f>
        <v>0</v>
      </c>
      <c r="H203" s="22"/>
      <c r="I203" s="22"/>
      <c r="J203" s="4" t="s">
        <v>127</v>
      </c>
      <c r="K203" s="4" t="s">
        <v>148</v>
      </c>
    </row>
    <row r="204" spans="2:11">
      <c r="B204" s="1">
        <v>332</v>
      </c>
      <c r="C204" s="4" t="s">
        <v>224</v>
      </c>
      <c r="D204" s="19">
        <f t="shared" si="3"/>
        <v>0</v>
      </c>
      <c r="E204" s="19">
        <f>SUMIF('C1'!$B$6:$B$2228,B204,'C1'!$D$6:$D$2228)</f>
        <v>0</v>
      </c>
      <c r="F204" s="19">
        <f>SUMIF('C2'!$B$6:$B$2228,B204,'C2'!$D$6:$D$2228)</f>
        <v>0</v>
      </c>
      <c r="G204" s="19">
        <f>SUMIF('C3'!$B$6:$B$2228,B204,'C3'!$D$6:$D$2228)</f>
        <v>0</v>
      </c>
      <c r="H204" s="22"/>
      <c r="I204" s="22"/>
      <c r="J204" s="4" t="s">
        <v>127</v>
      </c>
      <c r="K204" s="4" t="s">
        <v>148</v>
      </c>
    </row>
    <row r="205" spans="2:11">
      <c r="B205" s="1">
        <v>337</v>
      </c>
      <c r="C205" s="4" t="s">
        <v>225</v>
      </c>
      <c r="D205" s="19">
        <f t="shared" si="3"/>
        <v>0</v>
      </c>
      <c r="E205" s="19">
        <f>SUMIF('C1'!$B$6:$B$2228,B205,'C1'!$D$6:$D$2228)</f>
        <v>0</v>
      </c>
      <c r="F205" s="19">
        <f>SUMIF('C2'!$B$6:$B$2228,B205,'C2'!$D$6:$D$2228)</f>
        <v>0</v>
      </c>
      <c r="G205" s="19">
        <f>SUMIF('C3'!$B$6:$B$2228,B205,'C3'!$D$6:$D$2228)</f>
        <v>0</v>
      </c>
      <c r="H205" s="22"/>
      <c r="I205" s="22"/>
      <c r="J205" s="4" t="s">
        <v>127</v>
      </c>
      <c r="K205" s="4" t="s">
        <v>148</v>
      </c>
    </row>
    <row r="206" spans="2:11">
      <c r="B206" s="1">
        <v>338</v>
      </c>
      <c r="C206" s="4" t="s">
        <v>226</v>
      </c>
      <c r="D206" s="19">
        <f t="shared" si="3"/>
        <v>0</v>
      </c>
      <c r="E206" s="19">
        <f>SUMIF('C1'!$B$6:$B$2228,B206,'C1'!$D$6:$D$2228)</f>
        <v>0</v>
      </c>
      <c r="F206" s="19">
        <f>SUMIF('C2'!$B$6:$B$2228,B206,'C2'!$D$6:$D$2228)</f>
        <v>0</v>
      </c>
      <c r="G206" s="19">
        <f>SUMIF('C3'!$B$6:$B$2228,B206,'C3'!$D$6:$D$2228)</f>
        <v>0</v>
      </c>
      <c r="H206" s="22"/>
      <c r="I206" s="22"/>
      <c r="J206" s="4" t="s">
        <v>127</v>
      </c>
      <c r="K206" s="4" t="s">
        <v>148</v>
      </c>
    </row>
    <row r="207" spans="2:11">
      <c r="B207" s="1">
        <v>339</v>
      </c>
      <c r="C207" s="4" t="s">
        <v>227</v>
      </c>
      <c r="D207" s="19">
        <f t="shared" si="3"/>
        <v>0</v>
      </c>
      <c r="E207" s="19">
        <f>SUMIF('C1'!$B$6:$B$2228,B207,'C1'!$D$6:$D$2228)</f>
        <v>0</v>
      </c>
      <c r="F207" s="19">
        <f>SUMIF('C2'!$B$6:$B$2228,B207,'C2'!$D$6:$D$2228)</f>
        <v>0</v>
      </c>
      <c r="G207" s="19">
        <f>SUMIF('C3'!$B$6:$B$2228,B207,'C3'!$D$6:$D$2228)</f>
        <v>0</v>
      </c>
      <c r="H207" s="22"/>
      <c r="I207" s="22"/>
      <c r="J207" s="4" t="s">
        <v>127</v>
      </c>
      <c r="K207" s="4" t="s">
        <v>148</v>
      </c>
    </row>
    <row r="208" spans="2:11">
      <c r="B208" s="1">
        <v>340</v>
      </c>
      <c r="C208" s="4" t="s">
        <v>228</v>
      </c>
      <c r="D208" s="19">
        <f t="shared" si="3"/>
        <v>0</v>
      </c>
      <c r="E208" s="19">
        <f>SUMIF('C1'!$B$6:$B$2228,B208,'C1'!$D$6:$D$2228)</f>
        <v>0</v>
      </c>
      <c r="F208" s="19">
        <f>SUMIF('C2'!$B$6:$B$2228,B208,'C2'!$D$6:$D$2228)</f>
        <v>0</v>
      </c>
      <c r="G208" s="19">
        <f>SUMIF('C3'!$B$6:$B$2228,B208,'C3'!$D$6:$D$2228)</f>
        <v>0</v>
      </c>
      <c r="H208" s="22"/>
      <c r="I208" s="22"/>
      <c r="J208" s="4" t="s">
        <v>127</v>
      </c>
      <c r="K208" s="4" t="s">
        <v>148</v>
      </c>
    </row>
    <row r="209" spans="2:11">
      <c r="B209" s="1">
        <v>341</v>
      </c>
      <c r="C209" s="4" t="s">
        <v>229</v>
      </c>
      <c r="D209" s="19">
        <f t="shared" si="3"/>
        <v>0</v>
      </c>
      <c r="E209" s="19">
        <f>SUMIF('C1'!$B$6:$B$2228,B209,'C1'!$D$6:$D$2228)</f>
        <v>0</v>
      </c>
      <c r="F209" s="19">
        <f>SUMIF('C2'!$B$6:$B$2228,B209,'C2'!$D$6:$D$2228)</f>
        <v>0</v>
      </c>
      <c r="G209" s="19">
        <f>SUMIF('C3'!$B$6:$B$2228,B209,'C3'!$D$6:$D$2228)</f>
        <v>0</v>
      </c>
      <c r="H209" s="22"/>
      <c r="I209" s="22"/>
      <c r="J209" s="4" t="s">
        <v>127</v>
      </c>
      <c r="K209" s="4" t="s">
        <v>148</v>
      </c>
    </row>
    <row r="210" spans="2:11">
      <c r="B210" s="1">
        <v>342</v>
      </c>
      <c r="C210" s="4" t="s">
        <v>230</v>
      </c>
      <c r="D210" s="19">
        <f t="shared" si="3"/>
        <v>0</v>
      </c>
      <c r="E210" s="19">
        <f>SUMIF('C1'!$B$6:$B$2228,B210,'C1'!$D$6:$D$2228)</f>
        <v>0</v>
      </c>
      <c r="F210" s="19">
        <f>SUMIF('C2'!$B$6:$B$2228,B210,'C2'!$D$6:$D$2228)</f>
        <v>0</v>
      </c>
      <c r="G210" s="19">
        <f>SUMIF('C3'!$B$6:$B$2228,B210,'C3'!$D$6:$D$2228)</f>
        <v>0</v>
      </c>
      <c r="H210" s="22"/>
      <c r="I210" s="22"/>
      <c r="J210" s="4" t="s">
        <v>127</v>
      </c>
      <c r="K210" s="4" t="s">
        <v>148</v>
      </c>
    </row>
    <row r="211" spans="2:11">
      <c r="B211" s="1">
        <v>343</v>
      </c>
      <c r="C211" s="4" t="s">
        <v>231</v>
      </c>
      <c r="D211" s="19">
        <f t="shared" si="3"/>
        <v>0</v>
      </c>
      <c r="E211" s="19">
        <f>SUMIF('C1'!$B$6:$B$2228,B211,'C1'!$D$6:$D$2228)</f>
        <v>0</v>
      </c>
      <c r="F211" s="19">
        <f>SUMIF('C2'!$B$6:$B$2228,B211,'C2'!$D$6:$D$2228)</f>
        <v>0</v>
      </c>
      <c r="G211" s="19">
        <f>SUMIF('C3'!$B$6:$B$2228,B211,'C3'!$D$6:$D$2228)</f>
        <v>0</v>
      </c>
      <c r="H211" s="22"/>
      <c r="I211" s="22"/>
      <c r="J211" s="4" t="s">
        <v>127</v>
      </c>
      <c r="K211" s="4" t="s">
        <v>148</v>
      </c>
    </row>
    <row r="212" spans="2:11">
      <c r="B212" s="1">
        <v>344</v>
      </c>
      <c r="C212" s="4" t="s">
        <v>232</v>
      </c>
      <c r="D212" s="19">
        <f t="shared" si="3"/>
        <v>0</v>
      </c>
      <c r="E212" s="19">
        <f>SUMIF('C1'!$B$6:$B$2228,B212,'C1'!$D$6:$D$2228)</f>
        <v>0</v>
      </c>
      <c r="F212" s="19">
        <f>SUMIF('C2'!$B$6:$B$2228,B212,'C2'!$D$6:$D$2228)</f>
        <v>0</v>
      </c>
      <c r="G212" s="19">
        <f>SUMIF('C3'!$B$6:$B$2228,B212,'C3'!$D$6:$D$2228)</f>
        <v>0</v>
      </c>
      <c r="H212" s="22"/>
      <c r="I212" s="22"/>
      <c r="J212" s="4" t="s">
        <v>127</v>
      </c>
      <c r="K212" s="4" t="s">
        <v>148</v>
      </c>
    </row>
    <row r="213" spans="2:11">
      <c r="B213" s="1">
        <v>345</v>
      </c>
      <c r="C213" s="4" t="s">
        <v>233</v>
      </c>
      <c r="D213" s="19">
        <f t="shared" si="3"/>
        <v>0</v>
      </c>
      <c r="E213" s="19">
        <f>SUMIF('C1'!$B$6:$B$2228,B213,'C1'!$D$6:$D$2228)</f>
        <v>0</v>
      </c>
      <c r="F213" s="19">
        <f>SUMIF('C2'!$B$6:$B$2228,B213,'C2'!$D$6:$D$2228)</f>
        <v>0</v>
      </c>
      <c r="G213" s="19">
        <f>SUMIF('C3'!$B$6:$B$2228,B213,'C3'!$D$6:$D$2228)</f>
        <v>0</v>
      </c>
      <c r="H213" s="22"/>
      <c r="I213" s="22"/>
      <c r="J213" s="4" t="s">
        <v>127</v>
      </c>
      <c r="K213" s="4" t="s">
        <v>148</v>
      </c>
    </row>
    <row r="214" spans="2:11">
      <c r="B214" s="1">
        <v>346</v>
      </c>
      <c r="C214" s="4" t="s">
        <v>234</v>
      </c>
      <c r="D214" s="19">
        <f t="shared" si="3"/>
        <v>0</v>
      </c>
      <c r="E214" s="19">
        <f>SUMIF('C1'!$B$6:$B$2228,B214,'C1'!$D$6:$D$2228)</f>
        <v>0</v>
      </c>
      <c r="F214" s="19">
        <f>SUMIF('C2'!$B$6:$B$2228,B214,'C2'!$D$6:$D$2228)</f>
        <v>0</v>
      </c>
      <c r="G214" s="19">
        <f>SUMIF('C3'!$B$6:$B$2228,B214,'C3'!$D$6:$D$2228)</f>
        <v>0</v>
      </c>
      <c r="H214" s="22"/>
      <c r="I214" s="22"/>
      <c r="J214" s="4" t="s">
        <v>127</v>
      </c>
      <c r="K214" s="4" t="s">
        <v>148</v>
      </c>
    </row>
    <row r="215" spans="2:11">
      <c r="B215" s="1">
        <v>347</v>
      </c>
      <c r="C215" s="4" t="s">
        <v>235</v>
      </c>
      <c r="D215" s="19">
        <f t="shared" si="3"/>
        <v>0</v>
      </c>
      <c r="E215" s="19">
        <f>SUMIF('C1'!$B$6:$B$2228,B215,'C1'!$D$6:$D$2228)</f>
        <v>0</v>
      </c>
      <c r="F215" s="19">
        <f>SUMIF('C2'!$B$6:$B$2228,B215,'C2'!$D$6:$D$2228)</f>
        <v>0</v>
      </c>
      <c r="G215" s="19">
        <f>SUMIF('C3'!$B$6:$B$2228,B215,'C3'!$D$6:$D$2228)</f>
        <v>0</v>
      </c>
      <c r="H215" s="22"/>
      <c r="I215" s="22"/>
      <c r="J215" s="4" t="s">
        <v>127</v>
      </c>
      <c r="K215" s="4" t="s">
        <v>148</v>
      </c>
    </row>
    <row r="216" spans="2:11">
      <c r="B216" s="1">
        <v>348</v>
      </c>
      <c r="C216" s="4" t="s">
        <v>236</v>
      </c>
      <c r="D216" s="19">
        <f t="shared" si="3"/>
        <v>0</v>
      </c>
      <c r="E216" s="19">
        <f>SUMIF('C1'!$B$6:$B$2228,B216,'C1'!$D$6:$D$2228)</f>
        <v>0</v>
      </c>
      <c r="F216" s="19">
        <f>SUMIF('C2'!$B$6:$B$2228,B216,'C2'!$D$6:$D$2228)</f>
        <v>0</v>
      </c>
      <c r="G216" s="19">
        <f>SUMIF('C3'!$B$6:$B$2228,B216,'C3'!$D$6:$D$2228)</f>
        <v>0</v>
      </c>
      <c r="H216" s="22"/>
      <c r="I216" s="22"/>
      <c r="J216" s="4" t="s">
        <v>127</v>
      </c>
      <c r="K216" s="4" t="s">
        <v>148</v>
      </c>
    </row>
    <row r="217" spans="2:11">
      <c r="B217" s="1">
        <v>349</v>
      </c>
      <c r="C217" s="4" t="s">
        <v>237</v>
      </c>
      <c r="D217" s="19">
        <f t="shared" si="3"/>
        <v>0</v>
      </c>
      <c r="E217" s="19">
        <f>SUMIF('C1'!$B$6:$B$2228,B217,'C1'!$D$6:$D$2228)</f>
        <v>0</v>
      </c>
      <c r="F217" s="19">
        <f>SUMIF('C2'!$B$6:$B$2228,B217,'C2'!$D$6:$D$2228)</f>
        <v>0</v>
      </c>
      <c r="G217" s="19">
        <f>SUMIF('C3'!$B$6:$B$2228,B217,'C3'!$D$6:$D$2228)</f>
        <v>0</v>
      </c>
      <c r="H217" s="22"/>
      <c r="I217" s="22"/>
      <c r="J217" s="4" t="s">
        <v>127</v>
      </c>
      <c r="K217" s="4" t="s">
        <v>148</v>
      </c>
    </row>
    <row r="218" spans="2:11">
      <c r="B218" s="1">
        <v>350</v>
      </c>
      <c r="C218" s="4" t="s">
        <v>238</v>
      </c>
      <c r="D218" s="19">
        <f t="shared" si="3"/>
        <v>0</v>
      </c>
      <c r="E218" s="19">
        <f>SUMIF('C1'!$B$6:$B$2228,B218,'C1'!$D$6:$D$2228)</f>
        <v>0</v>
      </c>
      <c r="F218" s="19">
        <f>SUMIF('C2'!$B$6:$B$2228,B218,'C2'!$D$6:$D$2228)</f>
        <v>0</v>
      </c>
      <c r="G218" s="19">
        <f>SUMIF('C3'!$B$6:$B$2228,B218,'C3'!$D$6:$D$2228)</f>
        <v>0</v>
      </c>
      <c r="H218" s="22"/>
      <c r="I218" s="22"/>
      <c r="J218" s="4" t="s">
        <v>127</v>
      </c>
      <c r="K218" s="4" t="s">
        <v>148</v>
      </c>
    </row>
    <row r="219" spans="2:11">
      <c r="B219" s="1">
        <v>351</v>
      </c>
      <c r="C219" s="4" t="s">
        <v>239</v>
      </c>
      <c r="D219" s="19">
        <f t="shared" si="3"/>
        <v>0</v>
      </c>
      <c r="E219" s="19">
        <f>SUMIF('C1'!$B$6:$B$2228,B219,'C1'!$D$6:$D$2228)</f>
        <v>0</v>
      </c>
      <c r="F219" s="19">
        <f>SUMIF('C2'!$B$6:$B$2228,B219,'C2'!$D$6:$D$2228)</f>
        <v>0</v>
      </c>
      <c r="G219" s="19">
        <f>SUMIF('C3'!$B$6:$B$2228,B219,'C3'!$D$6:$D$2228)</f>
        <v>0</v>
      </c>
      <c r="H219" s="22"/>
      <c r="I219" s="22"/>
      <c r="J219" s="4" t="s">
        <v>127</v>
      </c>
      <c r="K219" s="4" t="s">
        <v>148</v>
      </c>
    </row>
    <row r="220" spans="2:11">
      <c r="B220" s="1">
        <v>352</v>
      </c>
      <c r="C220" s="4" t="s">
        <v>240</v>
      </c>
      <c r="D220" s="19">
        <f t="shared" si="3"/>
        <v>0</v>
      </c>
      <c r="E220" s="19">
        <f>SUMIF('C1'!$B$6:$B$2228,B220,'C1'!$D$6:$D$2228)</f>
        <v>0</v>
      </c>
      <c r="F220" s="19">
        <f>SUMIF('C2'!$B$6:$B$2228,B220,'C2'!$D$6:$D$2228)</f>
        <v>0</v>
      </c>
      <c r="G220" s="19">
        <f>SUMIF('C3'!$B$6:$B$2228,B220,'C3'!$D$6:$D$2228)</f>
        <v>0</v>
      </c>
      <c r="H220" s="22"/>
      <c r="I220" s="22"/>
      <c r="J220" s="4" t="s">
        <v>127</v>
      </c>
      <c r="K220" s="4" t="s">
        <v>148</v>
      </c>
    </row>
    <row r="221" spans="2:11">
      <c r="B221" s="1">
        <v>353</v>
      </c>
      <c r="C221" s="4" t="s">
        <v>241</v>
      </c>
      <c r="D221" s="19">
        <f t="shared" si="3"/>
        <v>0</v>
      </c>
      <c r="E221" s="19">
        <f>SUMIF('C1'!$B$6:$B$2228,B221,'C1'!$D$6:$D$2228)</f>
        <v>0</v>
      </c>
      <c r="F221" s="19">
        <f>SUMIF('C2'!$B$6:$B$2228,B221,'C2'!$D$6:$D$2228)</f>
        <v>0</v>
      </c>
      <c r="G221" s="19">
        <f>SUMIF('C3'!$B$6:$B$2228,B221,'C3'!$D$6:$D$2228)</f>
        <v>0</v>
      </c>
      <c r="H221" s="22"/>
      <c r="I221" s="22"/>
      <c r="J221" s="4" t="s">
        <v>127</v>
      </c>
      <c r="K221" s="4" t="s">
        <v>148</v>
      </c>
    </row>
    <row r="222" spans="2:11">
      <c r="B222" s="1">
        <v>354</v>
      </c>
      <c r="C222" s="4" t="s">
        <v>242</v>
      </c>
      <c r="D222" s="19">
        <f t="shared" si="3"/>
        <v>0</v>
      </c>
      <c r="E222" s="19">
        <f>SUMIF('C1'!$B$6:$B$2228,B222,'C1'!$D$6:$D$2228)</f>
        <v>0</v>
      </c>
      <c r="F222" s="19">
        <f>SUMIF('C2'!$B$6:$B$2228,B222,'C2'!$D$6:$D$2228)</f>
        <v>0</v>
      </c>
      <c r="G222" s="19">
        <f>SUMIF('C3'!$B$6:$B$2228,B222,'C3'!$D$6:$D$2228)</f>
        <v>0</v>
      </c>
      <c r="H222" s="22"/>
      <c r="I222" s="22"/>
      <c r="J222" s="4" t="s">
        <v>127</v>
      </c>
      <c r="K222" s="4" t="s">
        <v>148</v>
      </c>
    </row>
    <row r="223" spans="2:11">
      <c r="B223" s="1">
        <v>356</v>
      </c>
      <c r="C223" s="4" t="s">
        <v>243</v>
      </c>
      <c r="D223" s="19">
        <f t="shared" si="3"/>
        <v>0</v>
      </c>
      <c r="E223" s="19">
        <f>SUMIF('C1'!$B$6:$B$2228,B223,'C1'!$D$6:$D$2228)</f>
        <v>0</v>
      </c>
      <c r="F223" s="19">
        <f>SUMIF('C2'!$B$6:$B$2228,B223,'C2'!$D$6:$D$2228)</f>
        <v>0</v>
      </c>
      <c r="G223" s="19">
        <f>SUMIF('C3'!$B$6:$B$2228,B223,'C3'!$D$6:$D$2228)</f>
        <v>0</v>
      </c>
      <c r="H223" s="22"/>
      <c r="I223" s="22"/>
      <c r="J223" s="4" t="s">
        <v>127</v>
      </c>
      <c r="K223" s="4" t="s">
        <v>148</v>
      </c>
    </row>
    <row r="224" spans="2:11">
      <c r="B224" s="1">
        <v>357</v>
      </c>
      <c r="C224" s="4" t="s">
        <v>244</v>
      </c>
      <c r="D224" s="19">
        <f t="shared" si="3"/>
        <v>0</v>
      </c>
      <c r="E224" s="19">
        <f>SUMIF('C1'!$B$6:$B$2228,B224,'C1'!$D$6:$D$2228)</f>
        <v>0</v>
      </c>
      <c r="F224" s="19">
        <f>SUMIF('C2'!$B$6:$B$2228,B224,'C2'!$D$6:$D$2228)</f>
        <v>0</v>
      </c>
      <c r="G224" s="19">
        <f>SUMIF('C3'!$B$6:$B$2228,B224,'C3'!$D$6:$D$2228)</f>
        <v>0</v>
      </c>
      <c r="H224" s="22"/>
      <c r="I224" s="22"/>
      <c r="J224" s="4" t="s">
        <v>127</v>
      </c>
      <c r="K224" s="4" t="s">
        <v>148</v>
      </c>
    </row>
    <row r="225" spans="2:11">
      <c r="B225" s="1">
        <v>358</v>
      </c>
      <c r="C225" s="4" t="s">
        <v>245</v>
      </c>
      <c r="D225" s="19">
        <f t="shared" si="3"/>
        <v>0</v>
      </c>
      <c r="E225" s="19">
        <f>SUMIF('C1'!$B$6:$B$2228,B225,'C1'!$D$6:$D$2228)</f>
        <v>0</v>
      </c>
      <c r="F225" s="19">
        <f>SUMIF('C2'!$B$6:$B$2228,B225,'C2'!$D$6:$D$2228)</f>
        <v>0</v>
      </c>
      <c r="G225" s="19">
        <f>SUMIF('C3'!$B$6:$B$2228,B225,'C3'!$D$6:$D$2228)</f>
        <v>0</v>
      </c>
      <c r="H225" s="22"/>
      <c r="I225" s="22"/>
      <c r="J225" s="4" t="s">
        <v>127</v>
      </c>
      <c r="K225" s="4" t="s">
        <v>148</v>
      </c>
    </row>
    <row r="226" spans="2:11">
      <c r="B226" s="1">
        <v>359</v>
      </c>
      <c r="C226" s="4" t="s">
        <v>246</v>
      </c>
      <c r="D226" s="19">
        <f t="shared" si="3"/>
        <v>0</v>
      </c>
      <c r="E226" s="19">
        <f>SUMIF('C1'!$B$6:$B$2228,B226,'C1'!$D$6:$D$2228)</f>
        <v>0</v>
      </c>
      <c r="F226" s="19">
        <f>SUMIF('C2'!$B$6:$B$2228,B226,'C2'!$D$6:$D$2228)</f>
        <v>0</v>
      </c>
      <c r="G226" s="19">
        <f>SUMIF('C3'!$B$6:$B$2228,B226,'C3'!$D$6:$D$2228)</f>
        <v>0</v>
      </c>
      <c r="H226" s="22"/>
      <c r="I226" s="22"/>
      <c r="J226" s="4" t="s">
        <v>127</v>
      </c>
      <c r="K226" s="4" t="s">
        <v>148</v>
      </c>
    </row>
    <row r="227" spans="2:11">
      <c r="B227" s="1">
        <v>360</v>
      </c>
      <c r="C227" s="4" t="s">
        <v>247</v>
      </c>
      <c r="D227" s="19">
        <f t="shared" si="3"/>
        <v>0</v>
      </c>
      <c r="E227" s="19">
        <f>SUMIF('C1'!$B$6:$B$2228,B227,'C1'!$D$6:$D$2228)</f>
        <v>0</v>
      </c>
      <c r="F227" s="19">
        <f>SUMIF('C2'!$B$6:$B$2228,B227,'C2'!$D$6:$D$2228)</f>
        <v>0</v>
      </c>
      <c r="G227" s="19">
        <f>SUMIF('C3'!$B$6:$B$2228,B227,'C3'!$D$6:$D$2228)</f>
        <v>0</v>
      </c>
      <c r="H227" s="22"/>
      <c r="I227" s="22"/>
      <c r="J227" s="4" t="s">
        <v>127</v>
      </c>
      <c r="K227" s="4" t="s">
        <v>148</v>
      </c>
    </row>
    <row r="228" spans="2:11">
      <c r="B228" s="1">
        <v>361</v>
      </c>
      <c r="C228" s="4" t="s">
        <v>248</v>
      </c>
      <c r="D228" s="19">
        <f t="shared" si="3"/>
        <v>0</v>
      </c>
      <c r="E228" s="19">
        <f>SUMIF('C1'!$B$6:$B$2228,B228,'C1'!$D$6:$D$2228)</f>
        <v>0</v>
      </c>
      <c r="F228" s="19">
        <f>SUMIF('C2'!$B$6:$B$2228,B228,'C2'!$D$6:$D$2228)</f>
        <v>0</v>
      </c>
      <c r="G228" s="19">
        <f>SUMIF('C3'!$B$6:$B$2228,B228,'C3'!$D$6:$D$2228)</f>
        <v>0</v>
      </c>
      <c r="H228" s="22"/>
      <c r="I228" s="22"/>
      <c r="J228" s="4" t="s">
        <v>127</v>
      </c>
      <c r="K228" s="4" t="s">
        <v>148</v>
      </c>
    </row>
    <row r="229" spans="2:11">
      <c r="B229" s="1">
        <v>362</v>
      </c>
      <c r="C229" s="4" t="s">
        <v>249</v>
      </c>
      <c r="D229" s="19">
        <f t="shared" si="3"/>
        <v>0</v>
      </c>
      <c r="E229" s="19">
        <f>SUMIF('C1'!$B$6:$B$2228,B229,'C1'!$D$6:$D$2228)</f>
        <v>0</v>
      </c>
      <c r="F229" s="19">
        <f>SUMIF('C2'!$B$6:$B$2228,B229,'C2'!$D$6:$D$2228)</f>
        <v>0</v>
      </c>
      <c r="G229" s="19">
        <f>SUMIF('C3'!$B$6:$B$2228,B229,'C3'!$D$6:$D$2228)</f>
        <v>0</v>
      </c>
      <c r="H229" s="22"/>
      <c r="I229" s="22"/>
      <c r="J229" s="4" t="s">
        <v>127</v>
      </c>
      <c r="K229" s="4" t="s">
        <v>148</v>
      </c>
    </row>
    <row r="230" spans="2:11">
      <c r="B230" s="1">
        <v>363</v>
      </c>
      <c r="C230" s="4" t="s">
        <v>250</v>
      </c>
      <c r="D230" s="19">
        <f t="shared" si="3"/>
        <v>0</v>
      </c>
      <c r="E230" s="19">
        <f>SUMIF('C1'!$B$6:$B$2228,B230,'C1'!$D$6:$D$2228)</f>
        <v>0</v>
      </c>
      <c r="F230" s="19">
        <f>SUMIF('C2'!$B$6:$B$2228,B230,'C2'!$D$6:$D$2228)</f>
        <v>0</v>
      </c>
      <c r="G230" s="19">
        <f>SUMIF('C3'!$B$6:$B$2228,B230,'C3'!$D$6:$D$2228)</f>
        <v>0</v>
      </c>
      <c r="H230" s="22"/>
      <c r="I230" s="22"/>
      <c r="J230" s="4" t="s">
        <v>127</v>
      </c>
      <c r="K230" s="4" t="s">
        <v>148</v>
      </c>
    </row>
    <row r="231" spans="2:11">
      <c r="B231" s="1">
        <v>364</v>
      </c>
      <c r="C231" s="4" t="s">
        <v>251</v>
      </c>
      <c r="D231" s="19">
        <f t="shared" si="3"/>
        <v>0</v>
      </c>
      <c r="E231" s="19">
        <f>SUMIF('C1'!$B$6:$B$2228,B231,'C1'!$D$6:$D$2228)</f>
        <v>0</v>
      </c>
      <c r="F231" s="19">
        <f>SUMIF('C2'!$B$6:$B$2228,B231,'C2'!$D$6:$D$2228)</f>
        <v>0</v>
      </c>
      <c r="G231" s="19">
        <f>SUMIF('C3'!$B$6:$B$2228,B231,'C3'!$D$6:$D$2228)</f>
        <v>0</v>
      </c>
      <c r="H231" s="22"/>
      <c r="I231" s="22"/>
      <c r="J231" s="4" t="s">
        <v>127</v>
      </c>
      <c r="K231" s="4" t="s">
        <v>148</v>
      </c>
    </row>
    <row r="232" spans="2:11">
      <c r="B232" s="1">
        <v>365</v>
      </c>
      <c r="C232" s="4" t="s">
        <v>252</v>
      </c>
      <c r="D232" s="19">
        <f t="shared" si="3"/>
        <v>0</v>
      </c>
      <c r="E232" s="19">
        <f>SUMIF('C1'!$B$6:$B$2228,B232,'C1'!$D$6:$D$2228)</f>
        <v>0</v>
      </c>
      <c r="F232" s="19">
        <f>SUMIF('C2'!$B$6:$B$2228,B232,'C2'!$D$6:$D$2228)</f>
        <v>0</v>
      </c>
      <c r="G232" s="19">
        <f>SUMIF('C3'!$B$6:$B$2228,B232,'C3'!$D$6:$D$2228)</f>
        <v>0</v>
      </c>
      <c r="H232" s="22"/>
      <c r="I232" s="22"/>
      <c r="J232" s="4" t="s">
        <v>127</v>
      </c>
      <c r="K232" s="4" t="s">
        <v>148</v>
      </c>
    </row>
    <row r="233" spans="2:11">
      <c r="B233" s="1">
        <v>366</v>
      </c>
      <c r="C233" s="4" t="s">
        <v>253</v>
      </c>
      <c r="D233" s="19">
        <f t="shared" si="3"/>
        <v>6666</v>
      </c>
      <c r="E233" s="19">
        <f>SUMIF('C1'!$B$6:$B$2228,B233,'C1'!$D$6:$D$2228)</f>
        <v>0</v>
      </c>
      <c r="F233" s="19">
        <f>SUMIF('C2'!$B$6:$B$2228,B233,'C2'!$D$6:$D$2228)</f>
        <v>0</v>
      </c>
      <c r="G233" s="19">
        <f>SUMIF('C3'!$B$6:$B$2228,B233,'C3'!$D$6:$D$2228)</f>
        <v>6666</v>
      </c>
      <c r="H233" s="22"/>
      <c r="I233" s="22"/>
      <c r="J233" s="4" t="s">
        <v>127</v>
      </c>
      <c r="K233" s="4" t="s">
        <v>148</v>
      </c>
    </row>
    <row r="234" spans="2:11">
      <c r="B234" s="1">
        <v>367</v>
      </c>
      <c r="C234" s="4" t="s">
        <v>254</v>
      </c>
      <c r="D234" s="19">
        <f t="shared" si="3"/>
        <v>0</v>
      </c>
      <c r="E234" s="19">
        <f>SUMIF('C1'!$B$6:$B$2228,B234,'C1'!$D$6:$D$2228)</f>
        <v>0</v>
      </c>
      <c r="F234" s="19">
        <f>SUMIF('C2'!$B$6:$B$2228,B234,'C2'!$D$6:$D$2228)</f>
        <v>0</v>
      </c>
      <c r="G234" s="19">
        <f>SUMIF('C3'!$B$6:$B$2228,B234,'C3'!$D$6:$D$2228)</f>
        <v>0</v>
      </c>
      <c r="H234" s="22"/>
      <c r="I234" s="22"/>
      <c r="J234" s="4" t="s">
        <v>127</v>
      </c>
      <c r="K234" s="4" t="s">
        <v>148</v>
      </c>
    </row>
    <row r="235" spans="2:11">
      <c r="B235" s="1">
        <v>368</v>
      </c>
      <c r="C235" s="4" t="s">
        <v>255</v>
      </c>
      <c r="D235" s="19">
        <f t="shared" si="3"/>
        <v>0</v>
      </c>
      <c r="E235" s="19">
        <f>SUMIF('C1'!$B$6:$B$2228,B235,'C1'!$D$6:$D$2228)</f>
        <v>0</v>
      </c>
      <c r="F235" s="19">
        <f>SUMIF('C2'!$B$6:$B$2228,B235,'C2'!$D$6:$D$2228)</f>
        <v>0</v>
      </c>
      <c r="G235" s="19">
        <f>SUMIF('C3'!$B$6:$B$2228,B235,'C3'!$D$6:$D$2228)</f>
        <v>0</v>
      </c>
      <c r="H235" s="22"/>
      <c r="I235" s="22"/>
      <c r="J235" s="4" t="s">
        <v>127</v>
      </c>
      <c r="K235" s="4" t="s">
        <v>148</v>
      </c>
    </row>
    <row r="236" spans="2:11">
      <c r="B236" s="1">
        <v>369</v>
      </c>
      <c r="C236" s="4" t="s">
        <v>256</v>
      </c>
      <c r="D236" s="19">
        <f t="shared" si="3"/>
        <v>0</v>
      </c>
      <c r="E236" s="19">
        <f>SUMIF('C1'!$B$6:$B$2228,B236,'C1'!$D$6:$D$2228)</f>
        <v>0</v>
      </c>
      <c r="F236" s="19">
        <f>SUMIF('C2'!$B$6:$B$2228,B236,'C2'!$D$6:$D$2228)</f>
        <v>0</v>
      </c>
      <c r="G236" s="19">
        <f>SUMIF('C3'!$B$6:$B$2228,B236,'C3'!$D$6:$D$2228)</f>
        <v>0</v>
      </c>
      <c r="H236" s="22"/>
      <c r="I236" s="22"/>
      <c r="J236" s="4" t="s">
        <v>127</v>
      </c>
      <c r="K236" s="4" t="s">
        <v>148</v>
      </c>
    </row>
    <row r="237" spans="2:11">
      <c r="B237" s="1">
        <v>370</v>
      </c>
      <c r="C237" s="4" t="s">
        <v>257</v>
      </c>
      <c r="D237" s="19">
        <f t="shared" si="3"/>
        <v>0</v>
      </c>
      <c r="E237" s="19">
        <f>SUMIF('C1'!$B$6:$B$2228,B237,'C1'!$D$6:$D$2228)</f>
        <v>0</v>
      </c>
      <c r="F237" s="19">
        <f>SUMIF('C2'!$B$6:$B$2228,B237,'C2'!$D$6:$D$2228)</f>
        <v>0</v>
      </c>
      <c r="G237" s="19">
        <f>SUMIF('C3'!$B$6:$B$2228,B237,'C3'!$D$6:$D$2228)</f>
        <v>0</v>
      </c>
      <c r="H237" s="22"/>
      <c r="I237" s="22"/>
      <c r="J237" s="4" t="s">
        <v>127</v>
      </c>
      <c r="K237" s="4" t="s">
        <v>148</v>
      </c>
    </row>
    <row r="238" spans="2:11">
      <c r="B238" s="1">
        <v>371</v>
      </c>
      <c r="C238" s="4" t="s">
        <v>258</v>
      </c>
      <c r="D238" s="19">
        <f t="shared" si="3"/>
        <v>0</v>
      </c>
      <c r="E238" s="19">
        <f>SUMIF('C1'!$B$6:$B$2228,B238,'C1'!$D$6:$D$2228)</f>
        <v>0</v>
      </c>
      <c r="F238" s="19">
        <f>SUMIF('C2'!$B$6:$B$2228,B238,'C2'!$D$6:$D$2228)</f>
        <v>0</v>
      </c>
      <c r="G238" s="19">
        <f>SUMIF('C3'!$B$6:$B$2228,B238,'C3'!$D$6:$D$2228)</f>
        <v>0</v>
      </c>
      <c r="H238" s="22"/>
      <c r="I238" s="22"/>
      <c r="J238" s="4" t="s">
        <v>127</v>
      </c>
      <c r="K238" s="4" t="s">
        <v>148</v>
      </c>
    </row>
    <row r="239" spans="2:11">
      <c r="B239" s="1">
        <v>372</v>
      </c>
      <c r="C239" s="4" t="s">
        <v>259</v>
      </c>
      <c r="D239" s="19">
        <f t="shared" si="3"/>
        <v>0</v>
      </c>
      <c r="E239" s="19">
        <f>SUMIF('C1'!$B$6:$B$2228,B239,'C1'!$D$6:$D$2228)</f>
        <v>0</v>
      </c>
      <c r="F239" s="19">
        <f>SUMIF('C2'!$B$6:$B$2228,B239,'C2'!$D$6:$D$2228)</f>
        <v>0</v>
      </c>
      <c r="G239" s="19">
        <f>SUMIF('C3'!$B$6:$B$2228,B239,'C3'!$D$6:$D$2228)</f>
        <v>0</v>
      </c>
      <c r="H239" s="22"/>
      <c r="I239" s="22"/>
      <c r="J239" s="4" t="s">
        <v>127</v>
      </c>
      <c r="K239" s="4" t="s">
        <v>148</v>
      </c>
    </row>
    <row r="240" spans="2:11">
      <c r="B240" s="1">
        <v>373</v>
      </c>
      <c r="C240" s="4" t="s">
        <v>260</v>
      </c>
      <c r="D240" s="19">
        <f t="shared" si="3"/>
        <v>0</v>
      </c>
      <c r="E240" s="19">
        <f>SUMIF('C1'!$B$6:$B$2228,B240,'C1'!$D$6:$D$2228)</f>
        <v>0</v>
      </c>
      <c r="F240" s="19">
        <f>SUMIF('C2'!$B$6:$B$2228,B240,'C2'!$D$6:$D$2228)</f>
        <v>0</v>
      </c>
      <c r="G240" s="19">
        <f>SUMIF('C3'!$B$6:$B$2228,B240,'C3'!$D$6:$D$2228)</f>
        <v>0</v>
      </c>
      <c r="H240" s="22"/>
      <c r="I240" s="22"/>
      <c r="J240" s="4" t="s">
        <v>127</v>
      </c>
      <c r="K240" s="4" t="s">
        <v>148</v>
      </c>
    </row>
    <row r="241" spans="2:11">
      <c r="B241" s="1">
        <v>374</v>
      </c>
      <c r="C241" s="4" t="s">
        <v>261</v>
      </c>
      <c r="D241" s="19">
        <f t="shared" si="3"/>
        <v>0</v>
      </c>
      <c r="E241" s="19">
        <f>SUMIF('C1'!$B$6:$B$2228,B241,'C1'!$D$6:$D$2228)</f>
        <v>0</v>
      </c>
      <c r="F241" s="19">
        <f>SUMIF('C2'!$B$6:$B$2228,B241,'C2'!$D$6:$D$2228)</f>
        <v>0</v>
      </c>
      <c r="G241" s="19">
        <f>SUMIF('C3'!$B$6:$B$2228,B241,'C3'!$D$6:$D$2228)</f>
        <v>0</v>
      </c>
      <c r="H241" s="22"/>
      <c r="I241" s="22"/>
      <c r="J241" s="4" t="s">
        <v>127</v>
      </c>
      <c r="K241" s="4" t="s">
        <v>148</v>
      </c>
    </row>
    <row r="242" spans="2:11">
      <c r="B242" s="1">
        <v>375</v>
      </c>
      <c r="C242" s="4" t="s">
        <v>262</v>
      </c>
      <c r="D242" s="19">
        <f t="shared" si="3"/>
        <v>0</v>
      </c>
      <c r="E242" s="19">
        <f>SUMIF('C1'!$B$6:$B$2228,B242,'C1'!$D$6:$D$2228)</f>
        <v>0</v>
      </c>
      <c r="F242" s="19">
        <f>SUMIF('C2'!$B$6:$B$2228,B242,'C2'!$D$6:$D$2228)</f>
        <v>0</v>
      </c>
      <c r="G242" s="19">
        <f>SUMIF('C3'!$B$6:$B$2228,B242,'C3'!$D$6:$D$2228)</f>
        <v>0</v>
      </c>
      <c r="H242" s="22"/>
      <c r="I242" s="22"/>
      <c r="J242" s="4" t="s">
        <v>127</v>
      </c>
      <c r="K242" s="4" t="s">
        <v>148</v>
      </c>
    </row>
    <row r="243" spans="2:11">
      <c r="B243" s="1">
        <v>376</v>
      </c>
      <c r="C243" s="4" t="s">
        <v>263</v>
      </c>
      <c r="D243" s="19">
        <f t="shared" si="3"/>
        <v>0</v>
      </c>
      <c r="E243" s="19">
        <f>SUMIF('C1'!$B$6:$B$2228,B243,'C1'!$D$6:$D$2228)</f>
        <v>0</v>
      </c>
      <c r="F243" s="19">
        <f>SUMIF('C2'!$B$6:$B$2228,B243,'C2'!$D$6:$D$2228)</f>
        <v>0</v>
      </c>
      <c r="G243" s="19">
        <f>SUMIF('C3'!$B$6:$B$2228,B243,'C3'!$D$6:$D$2228)</f>
        <v>0</v>
      </c>
      <c r="H243" s="22"/>
      <c r="I243" s="22"/>
      <c r="J243" s="4" t="s">
        <v>127</v>
      </c>
      <c r="K243" s="4" t="s">
        <v>148</v>
      </c>
    </row>
    <row r="244" spans="2:11">
      <c r="B244" s="1">
        <v>377</v>
      </c>
      <c r="C244" s="4" t="s">
        <v>264</v>
      </c>
      <c r="D244" s="19">
        <f t="shared" si="3"/>
        <v>0</v>
      </c>
      <c r="E244" s="19">
        <f>SUMIF('C1'!$B$6:$B$2228,B244,'C1'!$D$6:$D$2228)</f>
        <v>0</v>
      </c>
      <c r="F244" s="19">
        <f>SUMIF('C2'!$B$6:$B$2228,B244,'C2'!$D$6:$D$2228)</f>
        <v>0</v>
      </c>
      <c r="G244" s="19">
        <f>SUMIF('C3'!$B$6:$B$2228,B244,'C3'!$D$6:$D$2228)</f>
        <v>0</v>
      </c>
      <c r="H244" s="22"/>
      <c r="I244" s="22"/>
      <c r="J244" s="4" t="s">
        <v>127</v>
      </c>
      <c r="K244" s="4" t="s">
        <v>148</v>
      </c>
    </row>
    <row r="245" spans="2:11">
      <c r="B245" s="1">
        <v>379</v>
      </c>
      <c r="C245" s="4" t="s">
        <v>265</v>
      </c>
      <c r="D245" s="19">
        <f t="shared" si="3"/>
        <v>0</v>
      </c>
      <c r="E245" s="19">
        <f>SUMIF('C1'!$B$6:$B$2228,B245,'C1'!$D$6:$D$2228)</f>
        <v>0</v>
      </c>
      <c r="F245" s="19">
        <f>SUMIF('C2'!$B$6:$B$2228,B245,'C2'!$D$6:$D$2228)</f>
        <v>0</v>
      </c>
      <c r="G245" s="19">
        <f>SUMIF('C3'!$B$6:$B$2228,B245,'C3'!$D$6:$D$2228)</f>
        <v>0</v>
      </c>
      <c r="H245" s="22"/>
      <c r="I245" s="22"/>
      <c r="J245" s="4" t="s">
        <v>127</v>
      </c>
      <c r="K245" s="4" t="s">
        <v>148</v>
      </c>
    </row>
    <row r="246" spans="2:11">
      <c r="B246" s="1">
        <v>380</v>
      </c>
      <c r="C246" s="4" t="s">
        <v>266</v>
      </c>
      <c r="D246" s="19">
        <f t="shared" si="3"/>
        <v>0</v>
      </c>
      <c r="E246" s="19">
        <f>SUMIF('C1'!$B$6:$B$2228,B246,'C1'!$D$6:$D$2228)</f>
        <v>0</v>
      </c>
      <c r="F246" s="19">
        <f>SUMIF('C2'!$B$6:$B$2228,B246,'C2'!$D$6:$D$2228)</f>
        <v>0</v>
      </c>
      <c r="G246" s="19">
        <f>SUMIF('C3'!$B$6:$B$2228,B246,'C3'!$D$6:$D$2228)</f>
        <v>0</v>
      </c>
      <c r="H246" s="22"/>
      <c r="I246" s="22"/>
      <c r="J246" s="4" t="s">
        <v>127</v>
      </c>
      <c r="K246" s="4" t="s">
        <v>148</v>
      </c>
    </row>
    <row r="247" spans="2:11">
      <c r="B247" s="1">
        <v>381</v>
      </c>
      <c r="C247" s="4" t="s">
        <v>267</v>
      </c>
      <c r="D247" s="19">
        <f t="shared" si="3"/>
        <v>0</v>
      </c>
      <c r="E247" s="19">
        <f>SUMIF('C1'!$B$6:$B$2228,B247,'C1'!$D$6:$D$2228)</f>
        <v>0</v>
      </c>
      <c r="F247" s="19">
        <f>SUMIF('C2'!$B$6:$B$2228,B247,'C2'!$D$6:$D$2228)</f>
        <v>0</v>
      </c>
      <c r="G247" s="19">
        <f>SUMIF('C3'!$B$6:$B$2228,B247,'C3'!$D$6:$D$2228)</f>
        <v>0</v>
      </c>
      <c r="H247" s="22"/>
      <c r="I247" s="22"/>
      <c r="J247" s="4" t="s">
        <v>127</v>
      </c>
      <c r="K247" s="4" t="s">
        <v>148</v>
      </c>
    </row>
    <row r="248" spans="2:11">
      <c r="B248" s="1">
        <v>383</v>
      </c>
      <c r="C248" s="4" t="s">
        <v>268</v>
      </c>
      <c r="D248" s="19">
        <f t="shared" si="3"/>
        <v>0</v>
      </c>
      <c r="E248" s="19">
        <f>SUMIF('C1'!$B$6:$B$2228,B248,'C1'!$D$6:$D$2228)</f>
        <v>0</v>
      </c>
      <c r="F248" s="19">
        <f>SUMIF('C2'!$B$6:$B$2228,B248,'C2'!$D$6:$D$2228)</f>
        <v>0</v>
      </c>
      <c r="G248" s="19">
        <f>SUMIF('C3'!$B$6:$B$2228,B248,'C3'!$D$6:$D$2228)</f>
        <v>0</v>
      </c>
      <c r="H248" s="22"/>
      <c r="I248" s="22"/>
      <c r="J248" s="4" t="s">
        <v>127</v>
      </c>
      <c r="K248" s="4" t="s">
        <v>148</v>
      </c>
    </row>
    <row r="249" spans="2:11">
      <c r="B249" s="1">
        <v>384</v>
      </c>
      <c r="C249" s="4" t="s">
        <v>269</v>
      </c>
      <c r="D249" s="19">
        <f t="shared" si="3"/>
        <v>0</v>
      </c>
      <c r="E249" s="19">
        <f>SUMIF('C1'!$B$6:$B$2228,B249,'C1'!$D$6:$D$2228)</f>
        <v>0</v>
      </c>
      <c r="F249" s="19">
        <f>SUMIF('C2'!$B$6:$B$2228,B249,'C2'!$D$6:$D$2228)</f>
        <v>0</v>
      </c>
      <c r="G249" s="19">
        <f>SUMIF('C3'!$B$6:$B$2228,B249,'C3'!$D$6:$D$2228)</f>
        <v>0</v>
      </c>
      <c r="H249" s="22"/>
      <c r="I249" s="22"/>
      <c r="J249" s="4" t="s">
        <v>127</v>
      </c>
      <c r="K249" s="4" t="s">
        <v>148</v>
      </c>
    </row>
    <row r="250" spans="2:11">
      <c r="B250" s="1">
        <v>387</v>
      </c>
      <c r="C250" s="4" t="s">
        <v>270</v>
      </c>
      <c r="D250" s="19">
        <f t="shared" si="3"/>
        <v>0</v>
      </c>
      <c r="E250" s="19">
        <f>SUMIF('C1'!$B$6:$B$2228,B250,'C1'!$D$6:$D$2228)</f>
        <v>0</v>
      </c>
      <c r="F250" s="19">
        <f>SUMIF('C2'!$B$6:$B$2228,B250,'C2'!$D$6:$D$2228)</f>
        <v>0</v>
      </c>
      <c r="G250" s="19">
        <f>SUMIF('C3'!$B$6:$B$2228,B250,'C3'!$D$6:$D$2228)</f>
        <v>0</v>
      </c>
      <c r="H250" s="22"/>
      <c r="I250" s="22"/>
      <c r="J250" s="4" t="s">
        <v>127</v>
      </c>
      <c r="K250" s="4" t="s">
        <v>148</v>
      </c>
    </row>
    <row r="251" spans="2:11">
      <c r="B251" s="1">
        <v>388</v>
      </c>
      <c r="C251" s="4" t="s">
        <v>271</v>
      </c>
      <c r="D251" s="19">
        <f t="shared" si="3"/>
        <v>0</v>
      </c>
      <c r="E251" s="19">
        <f>SUMIF('C1'!$B$6:$B$2228,B251,'C1'!$D$6:$D$2228)</f>
        <v>0</v>
      </c>
      <c r="F251" s="19">
        <f>SUMIF('C2'!$B$6:$B$2228,B251,'C2'!$D$6:$D$2228)</f>
        <v>0</v>
      </c>
      <c r="G251" s="19">
        <f>SUMIF('C3'!$B$6:$B$2228,B251,'C3'!$D$6:$D$2228)</f>
        <v>0</v>
      </c>
      <c r="H251" s="22"/>
      <c r="I251" s="22"/>
      <c r="J251" s="4" t="s">
        <v>127</v>
      </c>
      <c r="K251" s="4" t="s">
        <v>148</v>
      </c>
    </row>
    <row r="252" spans="2:11">
      <c r="B252" s="1">
        <v>389</v>
      </c>
      <c r="C252" s="4" t="s">
        <v>272</v>
      </c>
      <c r="D252" s="19">
        <f t="shared" si="3"/>
        <v>0</v>
      </c>
      <c r="E252" s="19">
        <f>SUMIF('C1'!$B$6:$B$2228,B252,'C1'!$D$6:$D$2228)</f>
        <v>0</v>
      </c>
      <c r="F252" s="19">
        <f>SUMIF('C2'!$B$6:$B$2228,B252,'C2'!$D$6:$D$2228)</f>
        <v>0</v>
      </c>
      <c r="G252" s="19">
        <f>SUMIF('C3'!$B$6:$B$2228,B252,'C3'!$D$6:$D$2228)</f>
        <v>0</v>
      </c>
      <c r="H252" s="22"/>
      <c r="I252" s="22"/>
      <c r="J252" s="4" t="s">
        <v>127</v>
      </c>
      <c r="K252" s="4" t="s">
        <v>148</v>
      </c>
    </row>
    <row r="253" spans="2:11">
      <c r="B253" s="1">
        <v>390</v>
      </c>
      <c r="C253" s="4" t="s">
        <v>273</v>
      </c>
      <c r="D253" s="19">
        <f t="shared" si="3"/>
        <v>0</v>
      </c>
      <c r="E253" s="19">
        <f>SUMIF('C1'!$B$6:$B$2228,B253,'C1'!$D$6:$D$2228)</f>
        <v>0</v>
      </c>
      <c r="F253" s="19">
        <f>SUMIF('C2'!$B$6:$B$2228,B253,'C2'!$D$6:$D$2228)</f>
        <v>0</v>
      </c>
      <c r="G253" s="19">
        <f>SUMIF('C3'!$B$6:$B$2228,B253,'C3'!$D$6:$D$2228)</f>
        <v>0</v>
      </c>
      <c r="H253" s="22"/>
      <c r="I253" s="22"/>
      <c r="J253" s="4" t="s">
        <v>127</v>
      </c>
      <c r="K253" s="4" t="s">
        <v>148</v>
      </c>
    </row>
    <row r="254" spans="2:11">
      <c r="B254" s="1">
        <v>391</v>
      </c>
      <c r="C254" s="4" t="s">
        <v>274</v>
      </c>
      <c r="D254" s="19">
        <f t="shared" si="3"/>
        <v>0</v>
      </c>
      <c r="E254" s="19">
        <f>SUMIF('C1'!$B$6:$B$2228,B254,'C1'!$D$6:$D$2228)</f>
        <v>0</v>
      </c>
      <c r="F254" s="19">
        <f>SUMIF('C2'!$B$6:$B$2228,B254,'C2'!$D$6:$D$2228)</f>
        <v>0</v>
      </c>
      <c r="G254" s="19">
        <f>SUMIF('C3'!$B$6:$B$2228,B254,'C3'!$D$6:$D$2228)</f>
        <v>0</v>
      </c>
      <c r="H254" s="22"/>
      <c r="I254" s="22"/>
      <c r="J254" s="4" t="s">
        <v>127</v>
      </c>
      <c r="K254" s="4" t="s">
        <v>148</v>
      </c>
    </row>
    <row r="255" spans="2:11">
      <c r="B255" s="1">
        <v>392</v>
      </c>
      <c r="C255" s="4" t="s">
        <v>275</v>
      </c>
      <c r="D255" s="19">
        <f t="shared" si="3"/>
        <v>0</v>
      </c>
      <c r="E255" s="19">
        <f>SUMIF('C1'!$B$6:$B$2228,B255,'C1'!$D$6:$D$2228)</f>
        <v>0</v>
      </c>
      <c r="F255" s="19">
        <f>SUMIF('C2'!$B$6:$B$2228,B255,'C2'!$D$6:$D$2228)</f>
        <v>0</v>
      </c>
      <c r="G255" s="19">
        <f>SUMIF('C3'!$B$6:$B$2228,B255,'C3'!$D$6:$D$2228)</f>
        <v>0</v>
      </c>
      <c r="H255" s="22"/>
      <c r="I255" s="22"/>
      <c r="J255" s="4" t="s">
        <v>127</v>
      </c>
      <c r="K255" s="4" t="s">
        <v>148</v>
      </c>
    </row>
    <row r="256" spans="2:11">
      <c r="B256" s="1">
        <v>393</v>
      </c>
      <c r="C256" s="4" t="s">
        <v>276</v>
      </c>
      <c r="D256" s="19">
        <f t="shared" si="3"/>
        <v>0</v>
      </c>
      <c r="E256" s="19">
        <f>SUMIF('C1'!$B$6:$B$2228,B256,'C1'!$D$6:$D$2228)</f>
        <v>0</v>
      </c>
      <c r="F256" s="19">
        <f>SUMIF('C2'!$B$6:$B$2228,B256,'C2'!$D$6:$D$2228)</f>
        <v>0</v>
      </c>
      <c r="G256" s="19">
        <f>SUMIF('C3'!$B$6:$B$2228,B256,'C3'!$D$6:$D$2228)</f>
        <v>0</v>
      </c>
      <c r="H256" s="22"/>
      <c r="I256" s="22"/>
      <c r="J256" s="4" t="s">
        <v>127</v>
      </c>
      <c r="K256" s="4" t="s">
        <v>148</v>
      </c>
    </row>
    <row r="257" spans="2:11">
      <c r="B257" s="1">
        <v>394</v>
      </c>
      <c r="C257" s="4" t="s">
        <v>277</v>
      </c>
      <c r="D257" s="19">
        <f t="shared" si="3"/>
        <v>0</v>
      </c>
      <c r="E257" s="19">
        <f>SUMIF('C1'!$B$6:$B$2228,B257,'C1'!$D$6:$D$2228)</f>
        <v>0</v>
      </c>
      <c r="F257" s="19">
        <f>SUMIF('C2'!$B$6:$B$2228,B257,'C2'!$D$6:$D$2228)</f>
        <v>0</v>
      </c>
      <c r="G257" s="19">
        <f>SUMIF('C3'!$B$6:$B$2228,B257,'C3'!$D$6:$D$2228)</f>
        <v>0</v>
      </c>
      <c r="H257" s="22"/>
      <c r="I257" s="22"/>
      <c r="J257" s="4" t="s">
        <v>127</v>
      </c>
      <c r="K257" s="4" t="s">
        <v>148</v>
      </c>
    </row>
    <row r="258" spans="2:11">
      <c r="B258" s="1">
        <v>395</v>
      </c>
      <c r="C258" s="4" t="s">
        <v>278</v>
      </c>
      <c r="D258" s="19">
        <f t="shared" si="3"/>
        <v>0</v>
      </c>
      <c r="E258" s="19">
        <f>SUMIF('C1'!$B$6:$B$2228,B258,'C1'!$D$6:$D$2228)</f>
        <v>0</v>
      </c>
      <c r="F258" s="19">
        <f>SUMIF('C2'!$B$6:$B$2228,B258,'C2'!$D$6:$D$2228)</f>
        <v>0</v>
      </c>
      <c r="G258" s="19">
        <f>SUMIF('C3'!$B$6:$B$2228,B258,'C3'!$D$6:$D$2228)</f>
        <v>0</v>
      </c>
      <c r="H258" s="22"/>
      <c r="I258" s="22"/>
      <c r="J258" s="4" t="s">
        <v>127</v>
      </c>
      <c r="K258" s="4" t="s">
        <v>148</v>
      </c>
    </row>
    <row r="259" spans="2:11">
      <c r="B259" s="1">
        <v>396</v>
      </c>
      <c r="C259" s="4" t="s">
        <v>279</v>
      </c>
      <c r="D259" s="19">
        <f t="shared" si="3"/>
        <v>0</v>
      </c>
      <c r="E259" s="19">
        <f>SUMIF('C1'!$B$6:$B$2228,B259,'C1'!$D$6:$D$2228)</f>
        <v>0</v>
      </c>
      <c r="F259" s="19">
        <f>SUMIF('C2'!$B$6:$B$2228,B259,'C2'!$D$6:$D$2228)</f>
        <v>0</v>
      </c>
      <c r="G259" s="19">
        <f>SUMIF('C3'!$B$6:$B$2228,B259,'C3'!$D$6:$D$2228)</f>
        <v>0</v>
      </c>
      <c r="H259" s="22"/>
      <c r="I259" s="22"/>
      <c r="J259" s="4" t="s">
        <v>127</v>
      </c>
      <c r="K259" s="4" t="s">
        <v>148</v>
      </c>
    </row>
    <row r="260" spans="2:11">
      <c r="B260" s="1">
        <v>397</v>
      </c>
      <c r="C260" s="4" t="s">
        <v>280</v>
      </c>
      <c r="D260" s="19">
        <f t="shared" si="3"/>
        <v>0</v>
      </c>
      <c r="E260" s="19">
        <f>SUMIF('C1'!$B$6:$B$2228,B260,'C1'!$D$6:$D$2228)</f>
        <v>0</v>
      </c>
      <c r="F260" s="19">
        <f>SUMIF('C2'!$B$6:$B$2228,B260,'C2'!$D$6:$D$2228)</f>
        <v>0</v>
      </c>
      <c r="G260" s="19">
        <f>SUMIF('C3'!$B$6:$B$2228,B260,'C3'!$D$6:$D$2228)</f>
        <v>0</v>
      </c>
      <c r="H260" s="22"/>
      <c r="I260" s="22"/>
      <c r="J260" s="4" t="s">
        <v>127</v>
      </c>
      <c r="K260" s="4" t="s">
        <v>148</v>
      </c>
    </row>
    <row r="261" spans="2:11">
      <c r="B261" s="1">
        <v>398</v>
      </c>
      <c r="C261" s="4" t="s">
        <v>281</v>
      </c>
      <c r="D261" s="19">
        <f t="shared" si="3"/>
        <v>0</v>
      </c>
      <c r="E261" s="19">
        <f>SUMIF('C1'!$B$6:$B$2228,B261,'C1'!$D$6:$D$2228)</f>
        <v>0</v>
      </c>
      <c r="F261" s="19">
        <f>SUMIF('C2'!$B$6:$B$2228,B261,'C2'!$D$6:$D$2228)</f>
        <v>0</v>
      </c>
      <c r="G261" s="19">
        <f>SUMIF('C3'!$B$6:$B$2228,B261,'C3'!$D$6:$D$2228)</f>
        <v>0</v>
      </c>
      <c r="H261" s="22"/>
      <c r="I261" s="22"/>
      <c r="J261" s="4" t="s">
        <v>127</v>
      </c>
      <c r="K261" s="4" t="s">
        <v>148</v>
      </c>
    </row>
    <row r="262" spans="2:11">
      <c r="B262" s="1">
        <v>399</v>
      </c>
      <c r="C262" s="4" t="s">
        <v>282</v>
      </c>
      <c r="D262" s="19">
        <f t="shared" si="3"/>
        <v>0</v>
      </c>
      <c r="E262" s="19">
        <f>SUMIF('C1'!$B$6:$B$2228,B262,'C1'!$D$6:$D$2228)</f>
        <v>0</v>
      </c>
      <c r="F262" s="19">
        <f>SUMIF('C2'!$B$6:$B$2228,B262,'C2'!$D$6:$D$2228)</f>
        <v>0</v>
      </c>
      <c r="G262" s="19">
        <f>SUMIF('C3'!$B$6:$B$2228,B262,'C3'!$D$6:$D$2228)</f>
        <v>0</v>
      </c>
      <c r="H262" s="22"/>
      <c r="I262" s="22"/>
      <c r="J262" s="4" t="s">
        <v>127</v>
      </c>
      <c r="K262" s="4" t="s">
        <v>148</v>
      </c>
    </row>
    <row r="263" spans="2:11">
      <c r="B263" s="1">
        <v>400</v>
      </c>
      <c r="C263" s="4" t="s">
        <v>283</v>
      </c>
      <c r="D263" s="19">
        <f t="shared" ref="D263:D326" si="4">SUM(E263:I263)</f>
        <v>0</v>
      </c>
      <c r="E263" s="19">
        <f>SUMIF('C1'!$B$6:$B$2228,B263,'C1'!$D$6:$D$2228)</f>
        <v>0</v>
      </c>
      <c r="F263" s="19">
        <f>SUMIF('C2'!$B$6:$B$2228,B263,'C2'!$D$6:$D$2228)</f>
        <v>0</v>
      </c>
      <c r="G263" s="19">
        <f>SUMIF('C3'!$B$6:$B$2228,B263,'C3'!$D$6:$D$2228)</f>
        <v>0</v>
      </c>
      <c r="H263" s="22"/>
      <c r="I263" s="22"/>
      <c r="J263" s="4" t="s">
        <v>127</v>
      </c>
      <c r="K263" s="4" t="s">
        <v>148</v>
      </c>
    </row>
    <row r="264" spans="2:11">
      <c r="B264" s="1">
        <v>401</v>
      </c>
      <c r="C264" s="4" t="s">
        <v>284</v>
      </c>
      <c r="D264" s="19">
        <f t="shared" si="4"/>
        <v>0</v>
      </c>
      <c r="E264" s="19">
        <f>SUMIF('C1'!$B$6:$B$2228,B264,'C1'!$D$6:$D$2228)</f>
        <v>0</v>
      </c>
      <c r="F264" s="19">
        <f>SUMIF('C2'!$B$6:$B$2228,B264,'C2'!$D$6:$D$2228)</f>
        <v>0</v>
      </c>
      <c r="G264" s="19">
        <f>SUMIF('C3'!$B$6:$B$2228,B264,'C3'!$D$6:$D$2228)</f>
        <v>0</v>
      </c>
      <c r="H264" s="22"/>
      <c r="I264" s="22"/>
      <c r="J264" s="4" t="s">
        <v>127</v>
      </c>
      <c r="K264" s="4" t="s">
        <v>148</v>
      </c>
    </row>
    <row r="265" spans="2:11">
      <c r="B265" s="1">
        <v>402</v>
      </c>
      <c r="C265" s="4" t="s">
        <v>285</v>
      </c>
      <c r="D265" s="19">
        <f t="shared" si="4"/>
        <v>0</v>
      </c>
      <c r="E265" s="19">
        <f>SUMIF('C1'!$B$6:$B$2228,B265,'C1'!$D$6:$D$2228)</f>
        <v>0</v>
      </c>
      <c r="F265" s="19">
        <f>SUMIF('C2'!$B$6:$B$2228,B265,'C2'!$D$6:$D$2228)</f>
        <v>0</v>
      </c>
      <c r="G265" s="19">
        <f>SUMIF('C3'!$B$6:$B$2228,B265,'C3'!$D$6:$D$2228)</f>
        <v>0</v>
      </c>
      <c r="H265" s="22"/>
      <c r="I265" s="22"/>
      <c r="J265" s="4" t="s">
        <v>127</v>
      </c>
      <c r="K265" s="4" t="s">
        <v>148</v>
      </c>
    </row>
    <row r="266" spans="2:11">
      <c r="B266" s="1">
        <v>403</v>
      </c>
      <c r="C266" s="4" t="s">
        <v>286</v>
      </c>
      <c r="D266" s="19">
        <f t="shared" si="4"/>
        <v>0</v>
      </c>
      <c r="E266" s="19">
        <f>SUMIF('C1'!$B$6:$B$2228,B266,'C1'!$D$6:$D$2228)</f>
        <v>0</v>
      </c>
      <c r="F266" s="19">
        <f>SUMIF('C2'!$B$6:$B$2228,B266,'C2'!$D$6:$D$2228)</f>
        <v>0</v>
      </c>
      <c r="G266" s="19">
        <f>SUMIF('C3'!$B$6:$B$2228,B266,'C3'!$D$6:$D$2228)</f>
        <v>0</v>
      </c>
      <c r="H266" s="22"/>
      <c r="I266" s="22"/>
      <c r="J266" s="4" t="s">
        <v>127</v>
      </c>
      <c r="K266" s="4" t="s">
        <v>148</v>
      </c>
    </row>
    <row r="267" spans="2:11">
      <c r="B267" s="1">
        <v>405</v>
      </c>
      <c r="C267" s="4" t="s">
        <v>287</v>
      </c>
      <c r="D267" s="19">
        <f t="shared" si="4"/>
        <v>0</v>
      </c>
      <c r="E267" s="19">
        <f>SUMIF('C1'!$B$6:$B$2228,B267,'C1'!$D$6:$D$2228)</f>
        <v>0</v>
      </c>
      <c r="F267" s="19">
        <f>SUMIF('C2'!$B$6:$B$2228,B267,'C2'!$D$6:$D$2228)</f>
        <v>0</v>
      </c>
      <c r="G267" s="19">
        <f>SUMIF('C3'!$B$6:$B$2228,B267,'C3'!$D$6:$D$2228)</f>
        <v>0</v>
      </c>
      <c r="H267" s="22"/>
      <c r="I267" s="22"/>
      <c r="J267" s="4" t="s">
        <v>127</v>
      </c>
      <c r="K267" s="4" t="s">
        <v>148</v>
      </c>
    </row>
    <row r="268" spans="2:11">
      <c r="B268" s="1">
        <v>406</v>
      </c>
      <c r="C268" s="4" t="s">
        <v>288</v>
      </c>
      <c r="D268" s="19">
        <f t="shared" si="4"/>
        <v>0</v>
      </c>
      <c r="E268" s="19">
        <f>SUMIF('C1'!$B$6:$B$2228,B268,'C1'!$D$6:$D$2228)</f>
        <v>0</v>
      </c>
      <c r="F268" s="19">
        <f>SUMIF('C2'!$B$6:$B$2228,B268,'C2'!$D$6:$D$2228)</f>
        <v>0</v>
      </c>
      <c r="G268" s="19">
        <f>SUMIF('C3'!$B$6:$B$2228,B268,'C3'!$D$6:$D$2228)</f>
        <v>0</v>
      </c>
      <c r="H268" s="22"/>
      <c r="I268" s="22"/>
      <c r="J268" s="4" t="s">
        <v>127</v>
      </c>
      <c r="K268" s="4" t="s">
        <v>148</v>
      </c>
    </row>
    <row r="269" spans="2:11">
      <c r="B269" s="1">
        <v>407</v>
      </c>
      <c r="C269" s="4" t="s">
        <v>289</v>
      </c>
      <c r="D269" s="19">
        <f t="shared" si="4"/>
        <v>0</v>
      </c>
      <c r="E269" s="19">
        <f>SUMIF('C1'!$B$6:$B$2228,B269,'C1'!$D$6:$D$2228)</f>
        <v>0</v>
      </c>
      <c r="F269" s="19">
        <f>SUMIF('C2'!$B$6:$B$2228,B269,'C2'!$D$6:$D$2228)</f>
        <v>0</v>
      </c>
      <c r="G269" s="19">
        <f>SUMIF('C3'!$B$6:$B$2228,B269,'C3'!$D$6:$D$2228)</f>
        <v>0</v>
      </c>
      <c r="H269" s="22"/>
      <c r="I269" s="22"/>
      <c r="J269" s="4" t="s">
        <v>127</v>
      </c>
      <c r="K269" s="4" t="s">
        <v>148</v>
      </c>
    </row>
    <row r="270" spans="2:11">
      <c r="B270" s="1">
        <v>408</v>
      </c>
      <c r="C270" s="4" t="s">
        <v>290</v>
      </c>
      <c r="D270" s="19">
        <f t="shared" si="4"/>
        <v>0</v>
      </c>
      <c r="E270" s="19">
        <f>SUMIF('C1'!$B$6:$B$2228,B270,'C1'!$D$6:$D$2228)</f>
        <v>0</v>
      </c>
      <c r="F270" s="19">
        <f>SUMIF('C2'!$B$6:$B$2228,B270,'C2'!$D$6:$D$2228)</f>
        <v>0</v>
      </c>
      <c r="G270" s="19">
        <f>SUMIF('C3'!$B$6:$B$2228,B270,'C3'!$D$6:$D$2228)</f>
        <v>0</v>
      </c>
      <c r="H270" s="22"/>
      <c r="I270" s="22"/>
      <c r="J270" s="4" t="s">
        <v>127</v>
      </c>
      <c r="K270" s="4" t="s">
        <v>148</v>
      </c>
    </row>
    <row r="271" spans="2:11">
      <c r="B271" s="1">
        <v>409</v>
      </c>
      <c r="C271" s="4" t="s">
        <v>291</v>
      </c>
      <c r="D271" s="19">
        <f t="shared" si="4"/>
        <v>0</v>
      </c>
      <c r="E271" s="19">
        <f>SUMIF('C1'!$B$6:$B$2228,B271,'C1'!$D$6:$D$2228)</f>
        <v>0</v>
      </c>
      <c r="F271" s="19">
        <f>SUMIF('C2'!$B$6:$B$2228,B271,'C2'!$D$6:$D$2228)</f>
        <v>0</v>
      </c>
      <c r="G271" s="19">
        <f>SUMIF('C3'!$B$6:$B$2228,B271,'C3'!$D$6:$D$2228)</f>
        <v>0</v>
      </c>
      <c r="H271" s="22"/>
      <c r="I271" s="22"/>
      <c r="J271" s="4" t="s">
        <v>127</v>
      </c>
      <c r="K271" s="4" t="s">
        <v>148</v>
      </c>
    </row>
    <row r="272" spans="2:11">
      <c r="B272" s="1">
        <v>410</v>
      </c>
      <c r="C272" s="4" t="s">
        <v>292</v>
      </c>
      <c r="D272" s="19">
        <f t="shared" si="4"/>
        <v>0</v>
      </c>
      <c r="E272" s="19">
        <f>SUMIF('C1'!$B$6:$B$2228,B272,'C1'!$D$6:$D$2228)</f>
        <v>0</v>
      </c>
      <c r="F272" s="19">
        <f>SUMIF('C2'!$B$6:$B$2228,B272,'C2'!$D$6:$D$2228)</f>
        <v>0</v>
      </c>
      <c r="G272" s="19">
        <f>SUMIF('C3'!$B$6:$B$2228,B272,'C3'!$D$6:$D$2228)</f>
        <v>0</v>
      </c>
      <c r="H272" s="22"/>
      <c r="I272" s="22"/>
      <c r="J272" s="4" t="s">
        <v>127</v>
      </c>
      <c r="K272" s="4" t="s">
        <v>148</v>
      </c>
    </row>
    <row r="273" spans="2:11">
      <c r="B273" s="1">
        <v>411</v>
      </c>
      <c r="C273" s="4" t="s">
        <v>293</v>
      </c>
      <c r="D273" s="19">
        <f t="shared" si="4"/>
        <v>0</v>
      </c>
      <c r="E273" s="19">
        <f>SUMIF('C1'!$B$6:$B$2228,B273,'C1'!$D$6:$D$2228)</f>
        <v>0</v>
      </c>
      <c r="F273" s="19">
        <f>SUMIF('C2'!$B$6:$B$2228,B273,'C2'!$D$6:$D$2228)</f>
        <v>0</v>
      </c>
      <c r="G273" s="19">
        <f>SUMIF('C3'!$B$6:$B$2228,B273,'C3'!$D$6:$D$2228)</f>
        <v>0</v>
      </c>
      <c r="H273" s="22"/>
      <c r="I273" s="22"/>
      <c r="J273" s="4" t="s">
        <v>127</v>
      </c>
      <c r="K273" s="4" t="s">
        <v>148</v>
      </c>
    </row>
    <row r="274" spans="2:11">
      <c r="B274" s="1">
        <v>412</v>
      </c>
      <c r="C274" s="4" t="s">
        <v>294</v>
      </c>
      <c r="D274" s="19">
        <f t="shared" si="4"/>
        <v>0</v>
      </c>
      <c r="E274" s="19">
        <f>SUMIF('C1'!$B$6:$B$2228,B274,'C1'!$D$6:$D$2228)</f>
        <v>0</v>
      </c>
      <c r="F274" s="19">
        <f>SUMIF('C2'!$B$6:$B$2228,B274,'C2'!$D$6:$D$2228)</f>
        <v>0</v>
      </c>
      <c r="G274" s="19">
        <f>SUMIF('C3'!$B$6:$B$2228,B274,'C3'!$D$6:$D$2228)</f>
        <v>0</v>
      </c>
      <c r="H274" s="22"/>
      <c r="I274" s="22"/>
      <c r="J274" s="4" t="s">
        <v>127</v>
      </c>
      <c r="K274" s="4" t="s">
        <v>148</v>
      </c>
    </row>
    <row r="275" spans="2:11">
      <c r="B275" s="1">
        <v>413</v>
      </c>
      <c r="C275" s="4" t="s">
        <v>295</v>
      </c>
      <c r="D275" s="19">
        <f t="shared" si="4"/>
        <v>0</v>
      </c>
      <c r="E275" s="19">
        <f>SUMIF('C1'!$B$6:$B$2228,B275,'C1'!$D$6:$D$2228)</f>
        <v>0</v>
      </c>
      <c r="F275" s="19">
        <f>SUMIF('C2'!$B$6:$B$2228,B275,'C2'!$D$6:$D$2228)</f>
        <v>0</v>
      </c>
      <c r="G275" s="19">
        <f>SUMIF('C3'!$B$6:$B$2228,B275,'C3'!$D$6:$D$2228)</f>
        <v>0</v>
      </c>
      <c r="H275" s="22"/>
      <c r="I275" s="22"/>
      <c r="J275" s="4" t="s">
        <v>127</v>
      </c>
      <c r="K275" s="4" t="s">
        <v>148</v>
      </c>
    </row>
    <row r="276" spans="2:11">
      <c r="B276" s="1">
        <v>414</v>
      </c>
      <c r="C276" s="4" t="s">
        <v>296</v>
      </c>
      <c r="D276" s="19">
        <f t="shared" si="4"/>
        <v>0</v>
      </c>
      <c r="E276" s="19">
        <f>SUMIF('C1'!$B$6:$B$2228,B276,'C1'!$D$6:$D$2228)</f>
        <v>0</v>
      </c>
      <c r="F276" s="19">
        <f>SUMIF('C2'!$B$6:$B$2228,B276,'C2'!$D$6:$D$2228)</f>
        <v>0</v>
      </c>
      <c r="G276" s="19">
        <f>SUMIF('C3'!$B$6:$B$2228,B276,'C3'!$D$6:$D$2228)</f>
        <v>0</v>
      </c>
      <c r="H276" s="22"/>
      <c r="I276" s="22"/>
      <c r="J276" s="4" t="s">
        <v>127</v>
      </c>
      <c r="K276" s="4" t="s">
        <v>148</v>
      </c>
    </row>
    <row r="277" spans="2:11">
      <c r="B277" s="1">
        <v>415</v>
      </c>
      <c r="C277" s="4" t="s">
        <v>297</v>
      </c>
      <c r="D277" s="19">
        <f t="shared" si="4"/>
        <v>0</v>
      </c>
      <c r="E277" s="19">
        <f>SUMIF('C1'!$B$6:$B$2228,B277,'C1'!$D$6:$D$2228)</f>
        <v>0</v>
      </c>
      <c r="F277" s="19">
        <f>SUMIF('C2'!$B$6:$B$2228,B277,'C2'!$D$6:$D$2228)</f>
        <v>0</v>
      </c>
      <c r="G277" s="19">
        <f>SUMIF('C3'!$B$6:$B$2228,B277,'C3'!$D$6:$D$2228)</f>
        <v>0</v>
      </c>
      <c r="H277" s="22"/>
      <c r="I277" s="22"/>
      <c r="J277" s="4" t="s">
        <v>127</v>
      </c>
      <c r="K277" s="4" t="s">
        <v>148</v>
      </c>
    </row>
    <row r="278" spans="2:11">
      <c r="B278" s="1">
        <v>416</v>
      </c>
      <c r="C278" s="4" t="s">
        <v>298</v>
      </c>
      <c r="D278" s="19">
        <f t="shared" si="4"/>
        <v>0</v>
      </c>
      <c r="E278" s="19">
        <f>SUMIF('C1'!$B$6:$B$2228,B278,'C1'!$D$6:$D$2228)</f>
        <v>0</v>
      </c>
      <c r="F278" s="19">
        <f>SUMIF('C2'!$B$6:$B$2228,B278,'C2'!$D$6:$D$2228)</f>
        <v>0</v>
      </c>
      <c r="G278" s="19">
        <f>SUMIF('C3'!$B$6:$B$2228,B278,'C3'!$D$6:$D$2228)</f>
        <v>0</v>
      </c>
      <c r="H278" s="22"/>
      <c r="I278" s="22"/>
      <c r="J278" s="4" t="s">
        <v>127</v>
      </c>
      <c r="K278" s="4" t="s">
        <v>148</v>
      </c>
    </row>
    <row r="279" spans="2:11">
      <c r="B279" s="1">
        <v>417</v>
      </c>
      <c r="C279" s="4" t="s">
        <v>299</v>
      </c>
      <c r="D279" s="19">
        <f t="shared" si="4"/>
        <v>0</v>
      </c>
      <c r="E279" s="19">
        <f>SUMIF('C1'!$B$6:$B$2228,B279,'C1'!$D$6:$D$2228)</f>
        <v>0</v>
      </c>
      <c r="F279" s="19">
        <f>SUMIF('C2'!$B$6:$B$2228,B279,'C2'!$D$6:$D$2228)</f>
        <v>0</v>
      </c>
      <c r="G279" s="19">
        <f>SUMIF('C3'!$B$6:$B$2228,B279,'C3'!$D$6:$D$2228)</f>
        <v>0</v>
      </c>
      <c r="H279" s="22"/>
      <c r="I279" s="22"/>
      <c r="J279" s="4" t="s">
        <v>127</v>
      </c>
      <c r="K279" s="4" t="s">
        <v>148</v>
      </c>
    </row>
    <row r="280" spans="2:11">
      <c r="B280" s="1">
        <v>419</v>
      </c>
      <c r="C280" s="4" t="s">
        <v>300</v>
      </c>
      <c r="D280" s="19">
        <f t="shared" si="4"/>
        <v>0</v>
      </c>
      <c r="E280" s="19">
        <f>SUMIF('C1'!$B$6:$B$2228,B280,'C1'!$D$6:$D$2228)</f>
        <v>0</v>
      </c>
      <c r="F280" s="19">
        <f>SUMIF('C2'!$B$6:$B$2228,B280,'C2'!$D$6:$D$2228)</f>
        <v>0</v>
      </c>
      <c r="G280" s="19">
        <f>SUMIF('C3'!$B$6:$B$2228,B280,'C3'!$D$6:$D$2228)</f>
        <v>0</v>
      </c>
      <c r="H280" s="22"/>
      <c r="I280" s="22"/>
      <c r="J280" s="4" t="s">
        <v>127</v>
      </c>
      <c r="K280" s="4" t="s">
        <v>148</v>
      </c>
    </row>
    <row r="281" spans="2:11">
      <c r="B281" s="1">
        <v>447</v>
      </c>
      <c r="C281" s="4" t="s">
        <v>301</v>
      </c>
      <c r="D281" s="19">
        <f t="shared" si="4"/>
        <v>0</v>
      </c>
      <c r="E281" s="19">
        <f>SUMIF('C1'!$B$6:$B$2228,B281,'C1'!$D$6:$D$2228)</f>
        <v>0</v>
      </c>
      <c r="F281" s="19">
        <f>SUMIF('C2'!$B$6:$B$2228,B281,'C2'!$D$6:$D$2228)</f>
        <v>0</v>
      </c>
      <c r="G281" s="19">
        <f>SUMIF('C3'!$B$6:$B$2228,B281,'C3'!$D$6:$D$2228)</f>
        <v>0</v>
      </c>
      <c r="H281" s="22"/>
      <c r="I281" s="22"/>
      <c r="J281" s="4" t="s">
        <v>127</v>
      </c>
      <c r="K281" s="4" t="s">
        <v>128</v>
      </c>
    </row>
    <row r="282" spans="2:11">
      <c r="B282" s="1">
        <v>448</v>
      </c>
      <c r="C282" s="4" t="s">
        <v>302</v>
      </c>
      <c r="D282" s="19">
        <f t="shared" si="4"/>
        <v>0</v>
      </c>
      <c r="E282" s="19">
        <f>SUMIF('C1'!$B$6:$B$2228,B282,'C1'!$D$6:$D$2228)</f>
        <v>0</v>
      </c>
      <c r="F282" s="19">
        <f>SUMIF('C2'!$B$6:$B$2228,B282,'C2'!$D$6:$D$2228)</f>
        <v>0</v>
      </c>
      <c r="G282" s="19">
        <f>SUMIF('C3'!$B$6:$B$2228,B282,'C3'!$D$6:$D$2228)</f>
        <v>0</v>
      </c>
      <c r="H282" s="22"/>
      <c r="I282" s="22"/>
      <c r="J282" s="4" t="s">
        <v>127</v>
      </c>
      <c r="K282" s="4" t="s">
        <v>150</v>
      </c>
    </row>
    <row r="283" spans="2:11">
      <c r="B283" s="1">
        <v>449</v>
      </c>
      <c r="C283" s="4" t="s">
        <v>303</v>
      </c>
      <c r="D283" s="19">
        <f t="shared" si="4"/>
        <v>0</v>
      </c>
      <c r="E283" s="19">
        <f>SUMIF('C1'!$B$6:$B$2228,B283,'C1'!$D$6:$D$2228)</f>
        <v>0</v>
      </c>
      <c r="F283" s="19">
        <f>SUMIF('C2'!$B$6:$B$2228,B283,'C2'!$D$6:$D$2228)</f>
        <v>0</v>
      </c>
      <c r="G283" s="19">
        <f>SUMIF('C3'!$B$6:$B$2228,B283,'C3'!$D$6:$D$2228)</f>
        <v>0</v>
      </c>
      <c r="H283" s="22"/>
      <c r="I283" s="22"/>
      <c r="J283" s="4" t="s">
        <v>51</v>
      </c>
      <c r="K283" s="4" t="s">
        <v>52</v>
      </c>
    </row>
    <row r="284" spans="2:11">
      <c r="B284" s="1">
        <v>450</v>
      </c>
      <c r="C284" s="4" t="s">
        <v>304</v>
      </c>
      <c r="D284" s="19">
        <f t="shared" si="4"/>
        <v>0</v>
      </c>
      <c r="E284" s="19">
        <f>SUMIF('C1'!$B$6:$B$2228,B284,'C1'!$D$6:$D$2228)</f>
        <v>0</v>
      </c>
      <c r="F284" s="19">
        <f>SUMIF('C2'!$B$6:$B$2228,B284,'C2'!$D$6:$D$2228)</f>
        <v>0</v>
      </c>
      <c r="G284" s="19">
        <f>SUMIF('C3'!$B$6:$B$2228,B284,'C3'!$D$6:$D$2228)</f>
        <v>0</v>
      </c>
      <c r="H284" s="22"/>
      <c r="I284" s="22"/>
      <c r="J284" s="4" t="s">
        <v>102</v>
      </c>
      <c r="K284" s="4" t="s">
        <v>106</v>
      </c>
    </row>
    <row r="285" spans="2:11">
      <c r="B285" s="1">
        <v>451</v>
      </c>
      <c r="C285" s="4" t="s">
        <v>305</v>
      </c>
      <c r="D285" s="19">
        <f t="shared" si="4"/>
        <v>0</v>
      </c>
      <c r="E285" s="19">
        <f>SUMIF('C1'!$B$6:$B$2228,B285,'C1'!$D$6:$D$2228)</f>
        <v>0</v>
      </c>
      <c r="F285" s="19">
        <f>SUMIF('C2'!$B$6:$B$2228,B285,'C2'!$D$6:$D$2228)</f>
        <v>0</v>
      </c>
      <c r="G285" s="19">
        <f>SUMIF('C3'!$B$6:$B$2228,B285,'C3'!$D$6:$D$2228)</f>
        <v>0</v>
      </c>
      <c r="H285" s="22"/>
      <c r="I285" s="22"/>
      <c r="J285" s="4" t="s">
        <v>102</v>
      </c>
      <c r="K285" s="4" t="s">
        <v>106</v>
      </c>
    </row>
    <row r="286" spans="2:11">
      <c r="B286" s="1">
        <v>452</v>
      </c>
      <c r="C286" s="4" t="s">
        <v>306</v>
      </c>
      <c r="D286" s="19">
        <f t="shared" si="4"/>
        <v>0</v>
      </c>
      <c r="E286" s="19">
        <f>SUMIF('C1'!$B$6:$B$2228,B286,'C1'!$D$6:$D$2228)</f>
        <v>0</v>
      </c>
      <c r="F286" s="19">
        <f>SUMIF('C2'!$B$6:$B$2228,B286,'C2'!$D$6:$D$2228)</f>
        <v>0</v>
      </c>
      <c r="G286" s="19">
        <f>SUMIF('C3'!$B$6:$B$2228,B286,'C3'!$D$6:$D$2228)</f>
        <v>0</v>
      </c>
      <c r="H286" s="22"/>
      <c r="I286" s="22"/>
      <c r="J286" s="4" t="s">
        <v>127</v>
      </c>
      <c r="K286" s="4" t="s">
        <v>128</v>
      </c>
    </row>
    <row r="287" spans="2:11">
      <c r="B287" s="1">
        <v>453</v>
      </c>
      <c r="C287" s="4" t="s">
        <v>307</v>
      </c>
      <c r="D287" s="19">
        <f t="shared" si="4"/>
        <v>0</v>
      </c>
      <c r="E287" s="19">
        <f>SUMIF('C1'!$B$6:$B$2228,B287,'C1'!$D$6:$D$2228)</f>
        <v>0</v>
      </c>
      <c r="F287" s="19">
        <f>SUMIF('C2'!$B$6:$B$2228,B287,'C2'!$D$6:$D$2228)</f>
        <v>0</v>
      </c>
      <c r="G287" s="19">
        <f>SUMIF('C3'!$B$6:$B$2228,B287,'C3'!$D$6:$D$2228)</f>
        <v>0</v>
      </c>
      <c r="H287" s="22"/>
      <c r="I287" s="22"/>
      <c r="J287" s="4" t="s">
        <v>51</v>
      </c>
      <c r="K287" s="4" t="s">
        <v>52</v>
      </c>
    </row>
    <row r="288" spans="2:11">
      <c r="B288" s="1">
        <v>454</v>
      </c>
      <c r="C288" s="4" t="s">
        <v>308</v>
      </c>
      <c r="D288" s="19">
        <f t="shared" si="4"/>
        <v>0</v>
      </c>
      <c r="E288" s="19">
        <f>SUMIF('C1'!$B$6:$B$2228,B288,'C1'!$D$6:$D$2228)</f>
        <v>0</v>
      </c>
      <c r="F288" s="19">
        <f>SUMIF('C2'!$B$6:$B$2228,B288,'C2'!$D$6:$D$2228)</f>
        <v>0</v>
      </c>
      <c r="G288" s="19">
        <f>SUMIF('C3'!$B$6:$B$2228,B288,'C3'!$D$6:$D$2228)</f>
        <v>0</v>
      </c>
      <c r="H288" s="22"/>
      <c r="I288" s="22"/>
      <c r="J288" s="4" t="s">
        <v>127</v>
      </c>
      <c r="K288" s="4" t="s">
        <v>148</v>
      </c>
    </row>
    <row r="289" spans="2:11">
      <c r="B289" s="1">
        <v>455</v>
      </c>
      <c r="C289" s="4" t="s">
        <v>309</v>
      </c>
      <c r="D289" s="19">
        <f t="shared" si="4"/>
        <v>0</v>
      </c>
      <c r="E289" s="19">
        <f>SUMIF('C1'!$B$6:$B$2228,B289,'C1'!$D$6:$D$2228)</f>
        <v>0</v>
      </c>
      <c r="F289" s="19">
        <f>SUMIF('C2'!$B$6:$B$2228,B289,'C2'!$D$6:$D$2228)</f>
        <v>0</v>
      </c>
      <c r="G289" s="19">
        <f>SUMIF('C3'!$B$6:$B$2228,B289,'C3'!$D$6:$D$2228)</f>
        <v>0</v>
      </c>
      <c r="H289" s="22"/>
      <c r="I289" s="22"/>
      <c r="J289" s="4" t="s">
        <v>127</v>
      </c>
      <c r="K289" s="4" t="s">
        <v>148</v>
      </c>
    </row>
    <row r="290" spans="2:11">
      <c r="B290" s="1">
        <v>456</v>
      </c>
      <c r="C290" s="4" t="s">
        <v>310</v>
      </c>
      <c r="D290" s="19">
        <f t="shared" si="4"/>
        <v>0</v>
      </c>
      <c r="E290" s="19">
        <f>SUMIF('C1'!$B$6:$B$2228,B290,'C1'!$D$6:$D$2228)</f>
        <v>0</v>
      </c>
      <c r="F290" s="19">
        <f>SUMIF('C2'!$B$6:$B$2228,B290,'C2'!$D$6:$D$2228)</f>
        <v>0</v>
      </c>
      <c r="G290" s="19">
        <f>SUMIF('C3'!$B$6:$B$2228,B290,'C3'!$D$6:$D$2228)</f>
        <v>0</v>
      </c>
      <c r="H290" s="22"/>
      <c r="I290" s="22"/>
      <c r="J290" s="4" t="s">
        <v>127</v>
      </c>
      <c r="K290" s="4" t="s">
        <v>128</v>
      </c>
    </row>
    <row r="291" spans="2:11">
      <c r="B291" s="1">
        <v>457</v>
      </c>
      <c r="C291" s="4" t="s">
        <v>311</v>
      </c>
      <c r="D291" s="19">
        <f t="shared" si="4"/>
        <v>0</v>
      </c>
      <c r="E291" s="19">
        <f>SUMIF('C1'!$B$6:$B$2228,B291,'C1'!$D$6:$D$2228)</f>
        <v>0</v>
      </c>
      <c r="F291" s="19">
        <f>SUMIF('C2'!$B$6:$B$2228,B291,'C2'!$D$6:$D$2228)</f>
        <v>0</v>
      </c>
      <c r="G291" s="19">
        <f>SUMIF('C3'!$B$6:$B$2228,B291,'C3'!$D$6:$D$2228)</f>
        <v>0</v>
      </c>
      <c r="H291" s="22"/>
      <c r="I291" s="22"/>
      <c r="J291" s="4" t="s">
        <v>127</v>
      </c>
      <c r="K291" s="4" t="s">
        <v>128</v>
      </c>
    </row>
    <row r="292" spans="2:11">
      <c r="B292" s="1">
        <v>458</v>
      </c>
      <c r="C292" s="4" t="s">
        <v>312</v>
      </c>
      <c r="D292" s="19">
        <f t="shared" si="4"/>
        <v>0</v>
      </c>
      <c r="E292" s="19">
        <f>SUMIF('C1'!$B$6:$B$2228,B292,'C1'!$D$6:$D$2228)</f>
        <v>0</v>
      </c>
      <c r="F292" s="19">
        <f>SUMIF('C2'!$B$6:$B$2228,B292,'C2'!$D$6:$D$2228)</f>
        <v>0</v>
      </c>
      <c r="G292" s="19">
        <f>SUMIF('C3'!$B$6:$B$2228,B292,'C3'!$D$6:$D$2228)</f>
        <v>0</v>
      </c>
      <c r="H292" s="22"/>
      <c r="I292" s="22"/>
      <c r="J292" s="4" t="s">
        <v>51</v>
      </c>
      <c r="K292" s="4" t="s">
        <v>52</v>
      </c>
    </row>
    <row r="293" spans="2:11">
      <c r="B293" s="1">
        <v>459</v>
      </c>
      <c r="C293" s="4" t="s">
        <v>313</v>
      </c>
      <c r="D293" s="19">
        <f t="shared" si="4"/>
        <v>0</v>
      </c>
      <c r="E293" s="19">
        <f>SUMIF('C1'!$B$6:$B$2228,B293,'C1'!$D$6:$D$2228)</f>
        <v>0</v>
      </c>
      <c r="F293" s="19">
        <f>SUMIF('C2'!$B$6:$B$2228,B293,'C2'!$D$6:$D$2228)</f>
        <v>0</v>
      </c>
      <c r="G293" s="19">
        <f>SUMIF('C3'!$B$6:$B$2228,B293,'C3'!$D$6:$D$2228)</f>
        <v>0</v>
      </c>
      <c r="H293" s="22"/>
      <c r="I293" s="22"/>
      <c r="J293" s="4" t="s">
        <v>127</v>
      </c>
      <c r="K293" s="4" t="s">
        <v>150</v>
      </c>
    </row>
    <row r="294" spans="2:11">
      <c r="B294" s="1">
        <v>460</v>
      </c>
      <c r="C294" s="4" t="s">
        <v>314</v>
      </c>
      <c r="D294" s="19">
        <f t="shared" si="4"/>
        <v>0</v>
      </c>
      <c r="E294" s="19">
        <f>SUMIF('C1'!$B$6:$B$2228,B294,'C1'!$D$6:$D$2228)</f>
        <v>0</v>
      </c>
      <c r="F294" s="19">
        <f>SUMIF('C2'!$B$6:$B$2228,B294,'C2'!$D$6:$D$2228)</f>
        <v>0</v>
      </c>
      <c r="G294" s="19">
        <f>SUMIF('C3'!$B$6:$B$2228,B294,'C3'!$D$6:$D$2228)</f>
        <v>0</v>
      </c>
      <c r="H294" s="22"/>
      <c r="I294" s="22"/>
      <c r="J294" s="4" t="s">
        <v>127</v>
      </c>
      <c r="K294" s="4" t="s">
        <v>150</v>
      </c>
    </row>
    <row r="295" spans="2:11">
      <c r="B295" s="1">
        <v>461</v>
      </c>
      <c r="C295" s="4" t="s">
        <v>315</v>
      </c>
      <c r="D295" s="19">
        <f t="shared" si="4"/>
        <v>0</v>
      </c>
      <c r="E295" s="19">
        <f>SUMIF('C1'!$B$6:$B$2228,B295,'C1'!$D$6:$D$2228)</f>
        <v>0</v>
      </c>
      <c r="F295" s="19">
        <f>SUMIF('C2'!$B$6:$B$2228,B295,'C2'!$D$6:$D$2228)</f>
        <v>0</v>
      </c>
      <c r="G295" s="19">
        <f>SUMIF('C3'!$B$6:$B$2228,B295,'C3'!$D$6:$D$2228)</f>
        <v>0</v>
      </c>
      <c r="H295" s="22"/>
      <c r="I295" s="22"/>
      <c r="J295" s="4" t="s">
        <v>102</v>
      </c>
      <c r="K295" s="4" t="s">
        <v>103</v>
      </c>
    </row>
    <row r="296" spans="2:11">
      <c r="B296" s="1">
        <v>462</v>
      </c>
      <c r="C296" s="4" t="s">
        <v>316</v>
      </c>
      <c r="D296" s="19">
        <f t="shared" si="4"/>
        <v>0</v>
      </c>
      <c r="E296" s="19">
        <f>SUMIF('C1'!$B$6:$B$2228,B296,'C1'!$D$6:$D$2228)</f>
        <v>0</v>
      </c>
      <c r="F296" s="19">
        <f>SUMIF('C2'!$B$6:$B$2228,B296,'C2'!$D$6:$D$2228)</f>
        <v>0</v>
      </c>
      <c r="G296" s="19">
        <f>SUMIF('C3'!$B$6:$B$2228,B296,'C3'!$D$6:$D$2228)</f>
        <v>0</v>
      </c>
      <c r="H296" s="22"/>
      <c r="I296" s="22"/>
      <c r="J296" s="4" t="s">
        <v>127</v>
      </c>
      <c r="K296" s="4" t="s">
        <v>128</v>
      </c>
    </row>
    <row r="297" spans="2:11">
      <c r="B297" s="1">
        <v>463</v>
      </c>
      <c r="C297" s="4" t="s">
        <v>317</v>
      </c>
      <c r="D297" s="19">
        <f t="shared" si="4"/>
        <v>0</v>
      </c>
      <c r="E297" s="19">
        <f>SUMIF('C1'!$B$6:$B$2228,B297,'C1'!$D$6:$D$2228)</f>
        <v>0</v>
      </c>
      <c r="F297" s="19">
        <f>SUMIF('C2'!$B$6:$B$2228,B297,'C2'!$D$6:$D$2228)</f>
        <v>0</v>
      </c>
      <c r="G297" s="19">
        <f>SUMIF('C3'!$B$6:$B$2228,B297,'C3'!$D$6:$D$2228)</f>
        <v>0</v>
      </c>
      <c r="H297" s="22"/>
      <c r="I297" s="22"/>
      <c r="J297" s="4" t="s">
        <v>127</v>
      </c>
      <c r="K297" s="4" t="s">
        <v>128</v>
      </c>
    </row>
    <row r="298" spans="2:11">
      <c r="B298" s="1">
        <v>464</v>
      </c>
      <c r="C298" s="4" t="s">
        <v>318</v>
      </c>
      <c r="D298" s="19">
        <f t="shared" si="4"/>
        <v>0</v>
      </c>
      <c r="E298" s="19">
        <f>SUMIF('C1'!$B$6:$B$2228,B298,'C1'!$D$6:$D$2228)</f>
        <v>0</v>
      </c>
      <c r="F298" s="19">
        <f>SUMIF('C2'!$B$6:$B$2228,B298,'C2'!$D$6:$D$2228)</f>
        <v>0</v>
      </c>
      <c r="G298" s="19">
        <f>SUMIF('C3'!$B$6:$B$2228,B298,'C3'!$D$6:$D$2228)</f>
        <v>0</v>
      </c>
      <c r="H298" s="22"/>
      <c r="I298" s="22"/>
      <c r="J298" s="4" t="s">
        <v>127</v>
      </c>
      <c r="K298" s="4" t="s">
        <v>128</v>
      </c>
    </row>
    <row r="299" spans="2:11">
      <c r="B299" s="1">
        <v>465</v>
      </c>
      <c r="C299" s="4" t="s">
        <v>319</v>
      </c>
      <c r="D299" s="19">
        <f t="shared" si="4"/>
        <v>0</v>
      </c>
      <c r="E299" s="19">
        <f>SUMIF('C1'!$B$6:$B$2228,B299,'C1'!$D$6:$D$2228)</f>
        <v>0</v>
      </c>
      <c r="F299" s="19">
        <f>SUMIF('C2'!$B$6:$B$2228,B299,'C2'!$D$6:$D$2228)</f>
        <v>0</v>
      </c>
      <c r="G299" s="19">
        <f>SUMIF('C3'!$B$6:$B$2228,B299,'C3'!$D$6:$D$2228)</f>
        <v>0</v>
      </c>
      <c r="H299" s="22"/>
      <c r="I299" s="22"/>
      <c r="J299" s="4" t="s">
        <v>127</v>
      </c>
      <c r="K299" s="4" t="s">
        <v>128</v>
      </c>
    </row>
    <row r="300" spans="2:11">
      <c r="B300" s="1">
        <v>466</v>
      </c>
      <c r="C300" s="4" t="s">
        <v>320</v>
      </c>
      <c r="D300" s="19">
        <f t="shared" si="4"/>
        <v>0</v>
      </c>
      <c r="E300" s="19">
        <f>SUMIF('C1'!$B$6:$B$2228,B300,'C1'!$D$6:$D$2228)</f>
        <v>0</v>
      </c>
      <c r="F300" s="19">
        <f>SUMIF('C2'!$B$6:$B$2228,B300,'C2'!$D$6:$D$2228)</f>
        <v>0</v>
      </c>
      <c r="G300" s="19">
        <f>SUMIF('C3'!$B$6:$B$2228,B300,'C3'!$D$6:$D$2228)</f>
        <v>0</v>
      </c>
      <c r="H300" s="22"/>
      <c r="I300" s="22"/>
      <c r="J300" s="4" t="s">
        <v>127</v>
      </c>
      <c r="K300" s="4" t="s">
        <v>150</v>
      </c>
    </row>
    <row r="301" spans="2:11">
      <c r="B301" s="1">
        <v>467</v>
      </c>
      <c r="C301" s="4" t="s">
        <v>321</v>
      </c>
      <c r="D301" s="19">
        <f t="shared" si="4"/>
        <v>0</v>
      </c>
      <c r="E301" s="19">
        <f>SUMIF('C1'!$B$6:$B$2228,B301,'C1'!$D$6:$D$2228)</f>
        <v>0</v>
      </c>
      <c r="F301" s="19">
        <f>SUMIF('C2'!$B$6:$B$2228,B301,'C2'!$D$6:$D$2228)</f>
        <v>0</v>
      </c>
      <c r="G301" s="19">
        <f>SUMIF('C3'!$B$6:$B$2228,B301,'C3'!$D$6:$D$2228)</f>
        <v>0</v>
      </c>
      <c r="H301" s="22"/>
      <c r="I301" s="22"/>
      <c r="J301" s="4" t="s">
        <v>51</v>
      </c>
      <c r="K301" s="4" t="s">
        <v>52</v>
      </c>
    </row>
    <row r="302" spans="2:11">
      <c r="B302" s="1">
        <v>468</v>
      </c>
      <c r="C302" s="4" t="s">
        <v>322</v>
      </c>
      <c r="D302" s="19">
        <f t="shared" si="4"/>
        <v>0</v>
      </c>
      <c r="E302" s="19">
        <f>SUMIF('C1'!$B$6:$B$2228,B302,'C1'!$D$6:$D$2228)</f>
        <v>0</v>
      </c>
      <c r="F302" s="19">
        <f>SUMIF('C2'!$B$6:$B$2228,B302,'C2'!$D$6:$D$2228)</f>
        <v>0</v>
      </c>
      <c r="G302" s="19">
        <f>SUMIF('C3'!$B$6:$B$2228,B302,'C3'!$D$6:$D$2228)</f>
        <v>0</v>
      </c>
      <c r="H302" s="22"/>
      <c r="I302" s="22"/>
      <c r="J302" s="4" t="s">
        <v>127</v>
      </c>
      <c r="K302" s="4" t="s">
        <v>128</v>
      </c>
    </row>
    <row r="303" spans="2:11">
      <c r="B303" s="1">
        <v>469</v>
      </c>
      <c r="C303" s="4" t="s">
        <v>323</v>
      </c>
      <c r="D303" s="19">
        <f t="shared" si="4"/>
        <v>0</v>
      </c>
      <c r="E303" s="19">
        <f>SUMIF('C1'!$B$6:$B$2228,B303,'C1'!$D$6:$D$2228)</f>
        <v>0</v>
      </c>
      <c r="F303" s="19">
        <f>SUMIF('C2'!$B$6:$B$2228,B303,'C2'!$D$6:$D$2228)</f>
        <v>0</v>
      </c>
      <c r="G303" s="19">
        <f>SUMIF('C3'!$B$6:$B$2228,B303,'C3'!$D$6:$D$2228)</f>
        <v>0</v>
      </c>
      <c r="H303" s="22"/>
      <c r="I303" s="22"/>
      <c r="J303" s="4" t="s">
        <v>127</v>
      </c>
      <c r="K303" s="4" t="s">
        <v>128</v>
      </c>
    </row>
    <row r="304" spans="2:11">
      <c r="B304" s="1">
        <v>470</v>
      </c>
      <c r="C304" s="4" t="s">
        <v>324</v>
      </c>
      <c r="D304" s="19">
        <f t="shared" si="4"/>
        <v>0</v>
      </c>
      <c r="E304" s="19">
        <f>SUMIF('C1'!$B$6:$B$2228,B304,'C1'!$D$6:$D$2228)</f>
        <v>0</v>
      </c>
      <c r="F304" s="19">
        <f>SUMIF('C2'!$B$6:$B$2228,B304,'C2'!$D$6:$D$2228)</f>
        <v>0</v>
      </c>
      <c r="G304" s="19">
        <f>SUMIF('C3'!$B$6:$B$2228,B304,'C3'!$D$6:$D$2228)</f>
        <v>0</v>
      </c>
      <c r="H304" s="22"/>
      <c r="I304" s="22"/>
      <c r="J304" s="4" t="s">
        <v>127</v>
      </c>
      <c r="K304" s="4" t="s">
        <v>128</v>
      </c>
    </row>
    <row r="305" spans="2:11">
      <c r="B305" s="1">
        <v>471</v>
      </c>
      <c r="C305" s="4" t="s">
        <v>325</v>
      </c>
      <c r="D305" s="19">
        <f t="shared" si="4"/>
        <v>0</v>
      </c>
      <c r="E305" s="19">
        <f>SUMIF('C1'!$B$6:$B$2228,B305,'C1'!$D$6:$D$2228)</f>
        <v>0</v>
      </c>
      <c r="F305" s="19">
        <f>SUMIF('C2'!$B$6:$B$2228,B305,'C2'!$D$6:$D$2228)</f>
        <v>0</v>
      </c>
      <c r="G305" s="19">
        <f>SUMIF('C3'!$B$6:$B$2228,B305,'C3'!$D$6:$D$2228)</f>
        <v>0</v>
      </c>
      <c r="H305" s="22"/>
      <c r="I305" s="22"/>
      <c r="J305" s="4" t="s">
        <v>127</v>
      </c>
      <c r="K305" s="4" t="s">
        <v>128</v>
      </c>
    </row>
    <row r="306" spans="2:11">
      <c r="B306" s="1">
        <v>472</v>
      </c>
      <c r="C306" s="4" t="s">
        <v>326</v>
      </c>
      <c r="D306" s="19">
        <f t="shared" si="4"/>
        <v>0</v>
      </c>
      <c r="E306" s="19">
        <f>SUMIF('C1'!$B$6:$B$2228,B306,'C1'!$D$6:$D$2228)</f>
        <v>0</v>
      </c>
      <c r="F306" s="19">
        <f>SUMIF('C2'!$B$6:$B$2228,B306,'C2'!$D$6:$D$2228)</f>
        <v>0</v>
      </c>
      <c r="G306" s="19">
        <f>SUMIF('C3'!$B$6:$B$2228,B306,'C3'!$D$6:$D$2228)</f>
        <v>0</v>
      </c>
      <c r="H306" s="22"/>
      <c r="I306" s="22"/>
      <c r="J306" s="4" t="s">
        <v>127</v>
      </c>
      <c r="K306" s="4" t="s">
        <v>150</v>
      </c>
    </row>
    <row r="307" spans="2:11">
      <c r="B307" s="1">
        <v>473</v>
      </c>
      <c r="C307" s="4" t="s">
        <v>327</v>
      </c>
      <c r="D307" s="19">
        <f t="shared" si="4"/>
        <v>0</v>
      </c>
      <c r="E307" s="19">
        <f>SUMIF('C1'!$B$6:$B$2228,B307,'C1'!$D$6:$D$2228)</f>
        <v>0</v>
      </c>
      <c r="F307" s="19">
        <f>SUMIF('C2'!$B$6:$B$2228,B307,'C2'!$D$6:$D$2228)</f>
        <v>0</v>
      </c>
      <c r="G307" s="19">
        <f>SUMIF('C3'!$B$6:$B$2228,B307,'C3'!$D$6:$D$2228)</f>
        <v>0</v>
      </c>
      <c r="H307" s="22"/>
      <c r="I307" s="22"/>
      <c r="J307" s="4" t="s">
        <v>127</v>
      </c>
      <c r="K307" s="4" t="s">
        <v>128</v>
      </c>
    </row>
    <row r="308" spans="2:11">
      <c r="B308" s="1">
        <v>474</v>
      </c>
      <c r="C308" s="4" t="s">
        <v>328</v>
      </c>
      <c r="D308" s="19">
        <f t="shared" si="4"/>
        <v>0</v>
      </c>
      <c r="E308" s="19">
        <f>SUMIF('C1'!$B$6:$B$2228,B308,'C1'!$D$6:$D$2228)</f>
        <v>0</v>
      </c>
      <c r="F308" s="19">
        <f>SUMIF('C2'!$B$6:$B$2228,B308,'C2'!$D$6:$D$2228)</f>
        <v>0</v>
      </c>
      <c r="G308" s="19">
        <f>SUMIF('C3'!$B$6:$B$2228,B308,'C3'!$D$6:$D$2228)</f>
        <v>0</v>
      </c>
      <c r="H308" s="22"/>
      <c r="I308" s="22"/>
      <c r="J308" s="4" t="s">
        <v>127</v>
      </c>
      <c r="K308" s="4" t="s">
        <v>128</v>
      </c>
    </row>
    <row r="309" spans="2:11">
      <c r="B309" s="1">
        <v>475</v>
      </c>
      <c r="C309" s="4" t="s">
        <v>329</v>
      </c>
      <c r="D309" s="19">
        <f t="shared" si="4"/>
        <v>0</v>
      </c>
      <c r="E309" s="19">
        <f>SUMIF('C1'!$B$6:$B$2228,B309,'C1'!$D$6:$D$2228)</f>
        <v>0</v>
      </c>
      <c r="F309" s="19">
        <f>SUMIF('C2'!$B$6:$B$2228,B309,'C2'!$D$6:$D$2228)</f>
        <v>0</v>
      </c>
      <c r="G309" s="19">
        <f>SUMIF('C3'!$B$6:$B$2228,B309,'C3'!$D$6:$D$2228)</f>
        <v>0</v>
      </c>
      <c r="H309" s="22"/>
      <c r="I309" s="22"/>
      <c r="J309" s="4" t="s">
        <v>127</v>
      </c>
      <c r="K309" s="4" t="s">
        <v>128</v>
      </c>
    </row>
    <row r="310" spans="2:11">
      <c r="B310" s="1">
        <v>476</v>
      </c>
      <c r="C310" s="4" t="s">
        <v>330</v>
      </c>
      <c r="D310" s="19">
        <f t="shared" si="4"/>
        <v>0</v>
      </c>
      <c r="E310" s="19">
        <f>SUMIF('C1'!$B$6:$B$2228,B310,'C1'!$D$6:$D$2228)</f>
        <v>0</v>
      </c>
      <c r="F310" s="19">
        <f>SUMIF('C2'!$B$6:$B$2228,B310,'C2'!$D$6:$D$2228)</f>
        <v>0</v>
      </c>
      <c r="G310" s="19">
        <f>SUMIF('C3'!$B$6:$B$2228,B310,'C3'!$D$6:$D$2228)</f>
        <v>0</v>
      </c>
      <c r="H310" s="22"/>
      <c r="I310" s="22"/>
      <c r="J310" s="4" t="s">
        <v>127</v>
      </c>
      <c r="K310" s="4" t="s">
        <v>128</v>
      </c>
    </row>
    <row r="311" spans="2:11">
      <c r="B311" s="1">
        <v>477</v>
      </c>
      <c r="C311" s="4" t="s">
        <v>331</v>
      </c>
      <c r="D311" s="19">
        <f t="shared" si="4"/>
        <v>0</v>
      </c>
      <c r="E311" s="19">
        <f>SUMIF('C1'!$B$6:$B$2228,B311,'C1'!$D$6:$D$2228)</f>
        <v>0</v>
      </c>
      <c r="F311" s="19">
        <f>SUMIF('C2'!$B$6:$B$2228,B311,'C2'!$D$6:$D$2228)</f>
        <v>0</v>
      </c>
      <c r="G311" s="19">
        <f>SUMIF('C3'!$B$6:$B$2228,B311,'C3'!$D$6:$D$2228)</f>
        <v>0</v>
      </c>
      <c r="H311" s="22"/>
      <c r="I311" s="22"/>
      <c r="J311" s="4" t="s">
        <v>51</v>
      </c>
      <c r="K311" s="4" t="s">
        <v>52</v>
      </c>
    </row>
    <row r="312" spans="2:11">
      <c r="B312" s="1">
        <v>478</v>
      </c>
      <c r="C312" s="4" t="s">
        <v>332</v>
      </c>
      <c r="D312" s="19">
        <f t="shared" si="4"/>
        <v>0</v>
      </c>
      <c r="E312" s="19">
        <f>SUMIF('C1'!$B$6:$B$2228,B312,'C1'!$D$6:$D$2228)</f>
        <v>0</v>
      </c>
      <c r="F312" s="19">
        <f>SUMIF('C2'!$B$6:$B$2228,B312,'C2'!$D$6:$D$2228)</f>
        <v>0</v>
      </c>
      <c r="G312" s="19">
        <f>SUMIF('C3'!$B$6:$B$2228,B312,'C3'!$D$6:$D$2228)</f>
        <v>0</v>
      </c>
      <c r="H312" s="22"/>
      <c r="I312" s="22"/>
      <c r="J312" s="4" t="s">
        <v>127</v>
      </c>
      <c r="K312" s="4" t="s">
        <v>128</v>
      </c>
    </row>
    <row r="313" spans="2:11">
      <c r="B313" s="1">
        <v>479</v>
      </c>
      <c r="C313" s="4" t="s">
        <v>333</v>
      </c>
      <c r="D313" s="19">
        <f t="shared" si="4"/>
        <v>0</v>
      </c>
      <c r="E313" s="19">
        <f>SUMIF('C1'!$B$6:$B$2228,B313,'C1'!$D$6:$D$2228)</f>
        <v>0</v>
      </c>
      <c r="F313" s="19">
        <f>SUMIF('C2'!$B$6:$B$2228,B313,'C2'!$D$6:$D$2228)</f>
        <v>0</v>
      </c>
      <c r="G313" s="19">
        <f>SUMIF('C3'!$B$6:$B$2228,B313,'C3'!$D$6:$D$2228)</f>
        <v>0</v>
      </c>
      <c r="H313" s="22"/>
      <c r="I313" s="22"/>
      <c r="J313" s="4" t="s">
        <v>127</v>
      </c>
      <c r="K313" s="4" t="s">
        <v>128</v>
      </c>
    </row>
    <row r="314" spans="2:11">
      <c r="B314" s="1">
        <v>480</v>
      </c>
      <c r="C314" s="4" t="s">
        <v>334</v>
      </c>
      <c r="D314" s="19">
        <f t="shared" si="4"/>
        <v>0</v>
      </c>
      <c r="E314" s="19">
        <f>SUMIF('C1'!$B$6:$B$2228,B314,'C1'!$D$6:$D$2228)</f>
        <v>0</v>
      </c>
      <c r="F314" s="19">
        <f>SUMIF('C2'!$B$6:$B$2228,B314,'C2'!$D$6:$D$2228)</f>
        <v>0</v>
      </c>
      <c r="G314" s="19">
        <f>SUMIF('C3'!$B$6:$B$2228,B314,'C3'!$D$6:$D$2228)</f>
        <v>0</v>
      </c>
      <c r="H314" s="22"/>
      <c r="I314" s="22"/>
      <c r="J314" s="4" t="s">
        <v>127</v>
      </c>
      <c r="K314" s="4" t="s">
        <v>128</v>
      </c>
    </row>
    <row r="315" spans="2:11">
      <c r="B315" s="1">
        <v>481</v>
      </c>
      <c r="C315" s="4" t="s">
        <v>335</v>
      </c>
      <c r="D315" s="19">
        <f t="shared" si="4"/>
        <v>0</v>
      </c>
      <c r="E315" s="19">
        <f>SUMIF('C1'!$B$6:$B$2228,B315,'C1'!$D$6:$D$2228)</f>
        <v>0</v>
      </c>
      <c r="F315" s="19">
        <f>SUMIF('C2'!$B$6:$B$2228,B315,'C2'!$D$6:$D$2228)</f>
        <v>0</v>
      </c>
      <c r="G315" s="19">
        <f>SUMIF('C3'!$B$6:$B$2228,B315,'C3'!$D$6:$D$2228)</f>
        <v>0</v>
      </c>
      <c r="H315" s="22"/>
      <c r="I315" s="22"/>
      <c r="J315" s="4" t="s">
        <v>127</v>
      </c>
      <c r="K315" s="4" t="s">
        <v>128</v>
      </c>
    </row>
    <row r="316" spans="2:11">
      <c r="B316" s="1">
        <v>482</v>
      </c>
      <c r="C316" s="4" t="s">
        <v>336</v>
      </c>
      <c r="D316" s="19">
        <f t="shared" si="4"/>
        <v>0</v>
      </c>
      <c r="E316" s="19">
        <f>SUMIF('C1'!$B$6:$B$2228,B316,'C1'!$D$6:$D$2228)</f>
        <v>0</v>
      </c>
      <c r="F316" s="19">
        <f>SUMIF('C2'!$B$6:$B$2228,B316,'C2'!$D$6:$D$2228)</f>
        <v>0</v>
      </c>
      <c r="G316" s="19">
        <f>SUMIF('C3'!$B$6:$B$2228,B316,'C3'!$D$6:$D$2228)</f>
        <v>0</v>
      </c>
      <c r="H316" s="22"/>
      <c r="I316" s="22"/>
      <c r="J316" s="4" t="s">
        <v>127</v>
      </c>
      <c r="K316" s="4" t="s">
        <v>128</v>
      </c>
    </row>
    <row r="317" spans="2:11">
      <c r="B317" s="1">
        <v>483</v>
      </c>
      <c r="C317" s="4" t="s">
        <v>337</v>
      </c>
      <c r="D317" s="19">
        <f t="shared" si="4"/>
        <v>0</v>
      </c>
      <c r="E317" s="19">
        <f>SUMIF('C1'!$B$6:$B$2228,B317,'C1'!$D$6:$D$2228)</f>
        <v>0</v>
      </c>
      <c r="F317" s="19">
        <f>SUMIF('C2'!$B$6:$B$2228,B317,'C2'!$D$6:$D$2228)</f>
        <v>0</v>
      </c>
      <c r="G317" s="19">
        <f>SUMIF('C3'!$B$6:$B$2228,B317,'C3'!$D$6:$D$2228)</f>
        <v>0</v>
      </c>
      <c r="H317" s="22"/>
      <c r="I317" s="22"/>
      <c r="J317" s="4" t="s">
        <v>127</v>
      </c>
      <c r="K317" s="4" t="s">
        <v>128</v>
      </c>
    </row>
    <row r="318" spans="2:11">
      <c r="B318" s="1">
        <v>484</v>
      </c>
      <c r="C318" s="4" t="s">
        <v>338</v>
      </c>
      <c r="D318" s="19">
        <f t="shared" si="4"/>
        <v>0</v>
      </c>
      <c r="E318" s="19">
        <f>SUMIF('C1'!$B$6:$B$2228,B318,'C1'!$D$6:$D$2228)</f>
        <v>0</v>
      </c>
      <c r="F318" s="19">
        <f>SUMIF('C2'!$B$6:$B$2228,B318,'C2'!$D$6:$D$2228)</f>
        <v>0</v>
      </c>
      <c r="G318" s="19">
        <f>SUMIF('C3'!$B$6:$B$2228,B318,'C3'!$D$6:$D$2228)</f>
        <v>0</v>
      </c>
      <c r="H318" s="22"/>
      <c r="I318" s="22"/>
      <c r="J318" s="4" t="s">
        <v>12</v>
      </c>
      <c r="K318" s="4" t="s">
        <v>13</v>
      </c>
    </row>
    <row r="319" spans="2:11">
      <c r="B319" s="1">
        <v>485</v>
      </c>
      <c r="C319" s="4" t="s">
        <v>339</v>
      </c>
      <c r="D319" s="19">
        <f t="shared" si="4"/>
        <v>0</v>
      </c>
      <c r="E319" s="19">
        <f>SUMIF('C1'!$B$6:$B$2228,B319,'C1'!$D$6:$D$2228)</f>
        <v>0</v>
      </c>
      <c r="F319" s="19">
        <f>SUMIF('C2'!$B$6:$B$2228,B319,'C2'!$D$6:$D$2228)</f>
        <v>0</v>
      </c>
      <c r="G319" s="19">
        <f>SUMIF('C3'!$B$6:$B$2228,B319,'C3'!$D$6:$D$2228)</f>
        <v>0</v>
      </c>
      <c r="H319" s="22"/>
      <c r="I319" s="22"/>
      <c r="J319" s="4" t="s">
        <v>102</v>
      </c>
      <c r="K319" s="4" t="s">
        <v>106</v>
      </c>
    </row>
    <row r="320" spans="2:11">
      <c r="B320" s="1">
        <v>486</v>
      </c>
      <c r="C320" s="4" t="s">
        <v>340</v>
      </c>
      <c r="D320" s="19">
        <f t="shared" si="4"/>
        <v>0</v>
      </c>
      <c r="E320" s="19">
        <f>SUMIF('C1'!$B$6:$B$2228,B320,'C1'!$D$6:$D$2228)</f>
        <v>0</v>
      </c>
      <c r="F320" s="19">
        <f>SUMIF('C2'!$B$6:$B$2228,B320,'C2'!$D$6:$D$2228)</f>
        <v>0</v>
      </c>
      <c r="G320" s="19">
        <f>SUMIF('C3'!$B$6:$B$2228,B320,'C3'!$D$6:$D$2228)</f>
        <v>0</v>
      </c>
      <c r="H320" s="22"/>
      <c r="I320" s="22"/>
      <c r="J320" s="4" t="s">
        <v>127</v>
      </c>
      <c r="K320" s="4" t="s">
        <v>128</v>
      </c>
    </row>
    <row r="321" spans="2:11">
      <c r="B321" s="1">
        <v>487</v>
      </c>
      <c r="C321" s="4" t="s">
        <v>341</v>
      </c>
      <c r="D321" s="19">
        <f t="shared" si="4"/>
        <v>0</v>
      </c>
      <c r="E321" s="19">
        <f>SUMIF('C1'!$B$6:$B$2228,B321,'C1'!$D$6:$D$2228)</f>
        <v>0</v>
      </c>
      <c r="F321" s="19">
        <f>SUMIF('C2'!$B$6:$B$2228,B321,'C2'!$D$6:$D$2228)</f>
        <v>0</v>
      </c>
      <c r="G321" s="19">
        <f>SUMIF('C3'!$B$6:$B$2228,B321,'C3'!$D$6:$D$2228)</f>
        <v>0</v>
      </c>
      <c r="H321" s="22"/>
      <c r="I321" s="22"/>
      <c r="J321" s="4" t="s">
        <v>51</v>
      </c>
      <c r="K321" s="4" t="s">
        <v>52</v>
      </c>
    </row>
    <row r="322" spans="2:11">
      <c r="B322" s="1">
        <v>488</v>
      </c>
      <c r="C322" s="4" t="s">
        <v>342</v>
      </c>
      <c r="D322" s="19">
        <f t="shared" si="4"/>
        <v>0</v>
      </c>
      <c r="E322" s="19">
        <f>SUMIF('C1'!$B$6:$B$2228,B322,'C1'!$D$6:$D$2228)</f>
        <v>0</v>
      </c>
      <c r="F322" s="19">
        <f>SUMIF('C2'!$B$6:$B$2228,B322,'C2'!$D$6:$D$2228)</f>
        <v>0</v>
      </c>
      <c r="G322" s="19">
        <f>SUMIF('C3'!$B$6:$B$2228,B322,'C3'!$D$6:$D$2228)</f>
        <v>0</v>
      </c>
      <c r="H322" s="22"/>
      <c r="I322" s="22"/>
      <c r="J322" s="4" t="s">
        <v>51</v>
      </c>
      <c r="K322" s="4" t="s">
        <v>52</v>
      </c>
    </row>
    <row r="323" spans="2:11">
      <c r="B323" s="1">
        <v>489</v>
      </c>
      <c r="C323" s="4" t="s">
        <v>343</v>
      </c>
      <c r="D323" s="19">
        <f t="shared" si="4"/>
        <v>0</v>
      </c>
      <c r="E323" s="19">
        <f>SUMIF('C1'!$B$6:$B$2228,B323,'C1'!$D$6:$D$2228)</f>
        <v>0</v>
      </c>
      <c r="F323" s="19">
        <f>SUMIF('C2'!$B$6:$B$2228,B323,'C2'!$D$6:$D$2228)</f>
        <v>0</v>
      </c>
      <c r="G323" s="19">
        <f>SUMIF('C3'!$B$6:$B$2228,B323,'C3'!$D$6:$D$2228)</f>
        <v>0</v>
      </c>
      <c r="H323" s="22"/>
      <c r="I323" s="22"/>
      <c r="J323" s="4" t="s">
        <v>127</v>
      </c>
      <c r="K323" s="4" t="s">
        <v>150</v>
      </c>
    </row>
    <row r="324" spans="2:11">
      <c r="B324" s="1">
        <v>490</v>
      </c>
      <c r="C324" s="4" t="s">
        <v>344</v>
      </c>
      <c r="D324" s="19">
        <f t="shared" si="4"/>
        <v>0</v>
      </c>
      <c r="E324" s="19">
        <f>SUMIF('C1'!$B$6:$B$2228,B324,'C1'!$D$6:$D$2228)</f>
        <v>0</v>
      </c>
      <c r="F324" s="19">
        <f>SUMIF('C2'!$B$6:$B$2228,B324,'C2'!$D$6:$D$2228)</f>
        <v>0</v>
      </c>
      <c r="G324" s="19">
        <f>SUMIF('C3'!$B$6:$B$2228,B324,'C3'!$D$6:$D$2228)</f>
        <v>0</v>
      </c>
      <c r="H324" s="22"/>
      <c r="I324" s="22"/>
      <c r="J324" s="4" t="s">
        <v>127</v>
      </c>
      <c r="K324" s="4" t="s">
        <v>128</v>
      </c>
    </row>
    <row r="325" spans="2:11">
      <c r="B325" s="1">
        <v>491</v>
      </c>
      <c r="C325" s="4" t="s">
        <v>345</v>
      </c>
      <c r="D325" s="19">
        <f t="shared" si="4"/>
        <v>0</v>
      </c>
      <c r="E325" s="19">
        <f>SUMIF('C1'!$B$6:$B$2228,B325,'C1'!$D$6:$D$2228)</f>
        <v>0</v>
      </c>
      <c r="F325" s="19">
        <f>SUMIF('C2'!$B$6:$B$2228,B325,'C2'!$D$6:$D$2228)</f>
        <v>0</v>
      </c>
      <c r="G325" s="19">
        <f>SUMIF('C3'!$B$6:$B$2228,B325,'C3'!$D$6:$D$2228)</f>
        <v>0</v>
      </c>
      <c r="H325" s="22"/>
      <c r="I325" s="22"/>
      <c r="J325" s="4" t="s">
        <v>12</v>
      </c>
      <c r="K325" s="4" t="s">
        <v>88</v>
      </c>
    </row>
    <row r="326" spans="2:11">
      <c r="B326" s="1">
        <v>492</v>
      </c>
      <c r="C326" s="4" t="s">
        <v>346</v>
      </c>
      <c r="D326" s="19">
        <f t="shared" si="4"/>
        <v>0</v>
      </c>
      <c r="E326" s="19">
        <f>SUMIF('C1'!$B$6:$B$2228,B326,'C1'!$D$6:$D$2228)</f>
        <v>0</v>
      </c>
      <c r="F326" s="19">
        <f>SUMIF('C2'!$B$6:$B$2228,B326,'C2'!$D$6:$D$2228)</f>
        <v>0</v>
      </c>
      <c r="G326" s="19">
        <f>SUMIF('C3'!$B$6:$B$2228,B326,'C3'!$D$6:$D$2228)</f>
        <v>0</v>
      </c>
      <c r="H326" s="22"/>
      <c r="I326" s="22"/>
      <c r="J326" s="4" t="s">
        <v>102</v>
      </c>
      <c r="K326" s="4" t="s">
        <v>106</v>
      </c>
    </row>
    <row r="327" spans="2:11">
      <c r="B327" s="1">
        <v>493</v>
      </c>
      <c r="C327" s="4" t="s">
        <v>347</v>
      </c>
      <c r="D327" s="19">
        <f t="shared" ref="D327:D390" si="5">SUM(E327:I327)</f>
        <v>0</v>
      </c>
      <c r="E327" s="19">
        <f>SUMIF('C1'!$B$6:$B$2228,B327,'C1'!$D$6:$D$2228)</f>
        <v>0</v>
      </c>
      <c r="F327" s="19">
        <f>SUMIF('C2'!$B$6:$B$2228,B327,'C2'!$D$6:$D$2228)</f>
        <v>0</v>
      </c>
      <c r="G327" s="19">
        <f>SUMIF('C3'!$B$6:$B$2228,B327,'C3'!$D$6:$D$2228)</f>
        <v>0</v>
      </c>
      <c r="H327" s="22"/>
      <c r="I327" s="22"/>
      <c r="J327" s="4" t="s">
        <v>51</v>
      </c>
      <c r="K327" s="4" t="s">
        <v>52</v>
      </c>
    </row>
    <row r="328" spans="2:11">
      <c r="B328" s="1">
        <v>494</v>
      </c>
      <c r="C328" s="4" t="s">
        <v>348</v>
      </c>
      <c r="D328" s="19">
        <f t="shared" si="5"/>
        <v>0</v>
      </c>
      <c r="E328" s="19">
        <f>SUMIF('C1'!$B$6:$B$2228,B328,'C1'!$D$6:$D$2228)</f>
        <v>0</v>
      </c>
      <c r="F328" s="19">
        <f>SUMIF('C2'!$B$6:$B$2228,B328,'C2'!$D$6:$D$2228)</f>
        <v>0</v>
      </c>
      <c r="G328" s="19">
        <f>SUMIF('C3'!$B$6:$B$2228,B328,'C3'!$D$6:$D$2228)</f>
        <v>0</v>
      </c>
      <c r="H328" s="22"/>
      <c r="I328" s="22"/>
      <c r="J328" s="4" t="s">
        <v>102</v>
      </c>
      <c r="K328" s="4" t="s">
        <v>106</v>
      </c>
    </row>
    <row r="329" spans="2:11">
      <c r="B329" s="1">
        <v>495</v>
      </c>
      <c r="C329" s="4" t="s">
        <v>349</v>
      </c>
      <c r="D329" s="19">
        <f t="shared" si="5"/>
        <v>0</v>
      </c>
      <c r="E329" s="19">
        <f>SUMIF('C1'!$B$6:$B$2228,B329,'C1'!$D$6:$D$2228)</f>
        <v>0</v>
      </c>
      <c r="F329" s="19">
        <f>SUMIF('C2'!$B$6:$B$2228,B329,'C2'!$D$6:$D$2228)</f>
        <v>0</v>
      </c>
      <c r="G329" s="19">
        <f>SUMIF('C3'!$B$6:$B$2228,B329,'C3'!$D$6:$D$2228)</f>
        <v>0</v>
      </c>
      <c r="H329" s="22"/>
      <c r="I329" s="22"/>
      <c r="J329" s="4" t="s">
        <v>127</v>
      </c>
      <c r="K329" s="4" t="s">
        <v>128</v>
      </c>
    </row>
    <row r="330" spans="2:11">
      <c r="B330" s="1">
        <v>496</v>
      </c>
      <c r="C330" s="4" t="s">
        <v>350</v>
      </c>
      <c r="D330" s="19">
        <f t="shared" si="5"/>
        <v>0</v>
      </c>
      <c r="E330" s="19">
        <f>SUMIF('C1'!$B$6:$B$2228,B330,'C1'!$D$6:$D$2228)</f>
        <v>0</v>
      </c>
      <c r="F330" s="19">
        <f>SUMIF('C2'!$B$6:$B$2228,B330,'C2'!$D$6:$D$2228)</f>
        <v>0</v>
      </c>
      <c r="G330" s="19">
        <f>SUMIF('C3'!$B$6:$B$2228,B330,'C3'!$D$6:$D$2228)</f>
        <v>0</v>
      </c>
      <c r="H330" s="22"/>
      <c r="I330" s="22"/>
      <c r="J330" s="4" t="s">
        <v>127</v>
      </c>
      <c r="K330" s="4" t="s">
        <v>128</v>
      </c>
    </row>
    <row r="331" spans="2:11">
      <c r="B331" s="1">
        <v>498</v>
      </c>
      <c r="C331" s="4" t="s">
        <v>351</v>
      </c>
      <c r="D331" s="19">
        <f t="shared" si="5"/>
        <v>0</v>
      </c>
      <c r="E331" s="19">
        <f>SUMIF('C1'!$B$6:$B$2228,B331,'C1'!$D$6:$D$2228)</f>
        <v>0</v>
      </c>
      <c r="F331" s="19">
        <f>SUMIF('C2'!$B$6:$B$2228,B331,'C2'!$D$6:$D$2228)</f>
        <v>0</v>
      </c>
      <c r="G331" s="19">
        <f>SUMIF('C3'!$B$6:$B$2228,B331,'C3'!$D$6:$D$2228)</f>
        <v>0</v>
      </c>
      <c r="H331" s="22"/>
      <c r="I331" s="22"/>
      <c r="J331" s="4" t="s">
        <v>127</v>
      </c>
      <c r="K331" s="4" t="s">
        <v>128</v>
      </c>
    </row>
    <row r="332" spans="2:11">
      <c r="B332" s="1">
        <v>499</v>
      </c>
      <c r="C332" s="4" t="s">
        <v>352</v>
      </c>
      <c r="D332" s="19">
        <f t="shared" si="5"/>
        <v>0</v>
      </c>
      <c r="E332" s="19">
        <f>SUMIF('C1'!$B$6:$B$2228,B332,'C1'!$D$6:$D$2228)</f>
        <v>0</v>
      </c>
      <c r="F332" s="19">
        <f>SUMIF('C2'!$B$6:$B$2228,B332,'C2'!$D$6:$D$2228)</f>
        <v>0</v>
      </c>
      <c r="G332" s="19">
        <f>SUMIF('C3'!$B$6:$B$2228,B332,'C3'!$D$6:$D$2228)</f>
        <v>0</v>
      </c>
      <c r="H332" s="22"/>
      <c r="I332" s="22"/>
      <c r="J332" s="4" t="s">
        <v>102</v>
      </c>
      <c r="K332" s="4" t="s">
        <v>106</v>
      </c>
    </row>
    <row r="333" spans="2:11">
      <c r="B333" s="1">
        <v>500</v>
      </c>
      <c r="C333" s="4" t="s">
        <v>353</v>
      </c>
      <c r="D333" s="19">
        <f t="shared" si="5"/>
        <v>0</v>
      </c>
      <c r="E333" s="19">
        <f>SUMIF('C1'!$B$6:$B$2228,B333,'C1'!$D$6:$D$2228)</f>
        <v>0</v>
      </c>
      <c r="F333" s="19">
        <f>SUMIF('C2'!$B$6:$B$2228,B333,'C2'!$D$6:$D$2228)</f>
        <v>0</v>
      </c>
      <c r="G333" s="19">
        <f>SUMIF('C3'!$B$6:$B$2228,B333,'C3'!$D$6:$D$2228)</f>
        <v>0</v>
      </c>
      <c r="H333" s="22"/>
      <c r="I333" s="22"/>
      <c r="J333" s="4" t="s">
        <v>51</v>
      </c>
      <c r="K333" s="4" t="s">
        <v>52</v>
      </c>
    </row>
    <row r="334" spans="2:11">
      <c r="B334" s="1">
        <v>501</v>
      </c>
      <c r="C334" s="4" t="s">
        <v>354</v>
      </c>
      <c r="D334" s="19">
        <f t="shared" si="5"/>
        <v>0</v>
      </c>
      <c r="E334" s="19">
        <f>SUMIF('C1'!$B$6:$B$2228,B334,'C1'!$D$6:$D$2228)</f>
        <v>0</v>
      </c>
      <c r="F334" s="19">
        <f>SUMIF('C2'!$B$6:$B$2228,B334,'C2'!$D$6:$D$2228)</f>
        <v>0</v>
      </c>
      <c r="G334" s="19">
        <f>SUMIF('C3'!$B$6:$B$2228,B334,'C3'!$D$6:$D$2228)</f>
        <v>0</v>
      </c>
      <c r="H334" s="22"/>
      <c r="I334" s="22"/>
      <c r="J334" s="4" t="s">
        <v>127</v>
      </c>
      <c r="K334" s="4" t="s">
        <v>150</v>
      </c>
    </row>
    <row r="335" spans="2:11">
      <c r="B335" s="1">
        <v>502</v>
      </c>
      <c r="C335" s="4" t="s">
        <v>355</v>
      </c>
      <c r="D335" s="19">
        <f t="shared" si="5"/>
        <v>0</v>
      </c>
      <c r="E335" s="19">
        <f>SUMIF('C1'!$B$6:$B$2228,B335,'C1'!$D$6:$D$2228)</f>
        <v>0</v>
      </c>
      <c r="F335" s="19">
        <f>SUMIF('C2'!$B$6:$B$2228,B335,'C2'!$D$6:$D$2228)</f>
        <v>0</v>
      </c>
      <c r="G335" s="19">
        <f>SUMIF('C3'!$B$6:$B$2228,B335,'C3'!$D$6:$D$2228)</f>
        <v>0</v>
      </c>
      <c r="H335" s="22"/>
      <c r="I335" s="22"/>
      <c r="J335" s="4" t="s">
        <v>127</v>
      </c>
      <c r="K335" s="4" t="s">
        <v>128</v>
      </c>
    </row>
    <row r="336" spans="2:11">
      <c r="B336" s="1">
        <v>503</v>
      </c>
      <c r="C336" s="4" t="s">
        <v>356</v>
      </c>
      <c r="D336" s="19">
        <f t="shared" si="5"/>
        <v>0</v>
      </c>
      <c r="E336" s="19">
        <f>SUMIF('C1'!$B$6:$B$2228,B336,'C1'!$D$6:$D$2228)</f>
        <v>0</v>
      </c>
      <c r="F336" s="19">
        <f>SUMIF('C2'!$B$6:$B$2228,B336,'C2'!$D$6:$D$2228)</f>
        <v>0</v>
      </c>
      <c r="G336" s="19">
        <f>SUMIF('C3'!$B$6:$B$2228,B336,'C3'!$D$6:$D$2228)</f>
        <v>0</v>
      </c>
      <c r="H336" s="22"/>
      <c r="I336" s="22"/>
      <c r="J336" s="4" t="s">
        <v>127</v>
      </c>
      <c r="K336" s="4" t="s">
        <v>128</v>
      </c>
    </row>
    <row r="337" spans="2:11">
      <c r="B337" s="1">
        <v>504</v>
      </c>
      <c r="C337" s="4" t="s">
        <v>357</v>
      </c>
      <c r="D337" s="19">
        <f t="shared" si="5"/>
        <v>0</v>
      </c>
      <c r="E337" s="19">
        <f>SUMIF('C1'!$B$6:$B$2228,B337,'C1'!$D$6:$D$2228)</f>
        <v>0</v>
      </c>
      <c r="F337" s="19">
        <f>SUMIF('C2'!$B$6:$B$2228,B337,'C2'!$D$6:$D$2228)</f>
        <v>0</v>
      </c>
      <c r="G337" s="19">
        <f>SUMIF('C3'!$B$6:$B$2228,B337,'C3'!$D$6:$D$2228)</f>
        <v>0</v>
      </c>
      <c r="H337" s="22"/>
      <c r="I337" s="22"/>
      <c r="J337" s="4" t="s">
        <v>127</v>
      </c>
      <c r="K337" s="4" t="s">
        <v>128</v>
      </c>
    </row>
    <row r="338" spans="2:11">
      <c r="B338" s="1">
        <v>505</v>
      </c>
      <c r="C338" s="4" t="s">
        <v>358</v>
      </c>
      <c r="D338" s="19">
        <f t="shared" si="5"/>
        <v>0</v>
      </c>
      <c r="E338" s="19">
        <f>SUMIF('C1'!$B$6:$B$2228,B338,'C1'!$D$6:$D$2228)</f>
        <v>0</v>
      </c>
      <c r="F338" s="19">
        <f>SUMIF('C2'!$B$6:$B$2228,B338,'C2'!$D$6:$D$2228)</f>
        <v>0</v>
      </c>
      <c r="G338" s="19">
        <f>SUMIF('C3'!$B$6:$B$2228,B338,'C3'!$D$6:$D$2228)</f>
        <v>0</v>
      </c>
      <c r="H338" s="22"/>
      <c r="I338" s="22"/>
      <c r="J338" s="4" t="s">
        <v>127</v>
      </c>
      <c r="K338" s="4" t="s">
        <v>128</v>
      </c>
    </row>
    <row r="339" spans="2:11">
      <c r="B339" s="1">
        <v>506</v>
      </c>
      <c r="C339" s="4" t="s">
        <v>359</v>
      </c>
      <c r="D339" s="19">
        <f t="shared" si="5"/>
        <v>500</v>
      </c>
      <c r="E339" s="19">
        <f>SUMIF('C1'!$B$6:$B$2228,B339,'C1'!$D$6:$D$2228)</f>
        <v>500</v>
      </c>
      <c r="F339" s="19">
        <f>SUMIF('C2'!$B$6:$B$2228,B339,'C2'!$D$6:$D$2228)</f>
        <v>0</v>
      </c>
      <c r="G339" s="19">
        <f>SUMIF('C3'!$B$6:$B$2228,B339,'C3'!$D$6:$D$2228)</f>
        <v>0</v>
      </c>
      <c r="H339" s="22"/>
      <c r="I339" s="22"/>
      <c r="J339" s="4" t="s">
        <v>127</v>
      </c>
      <c r="K339" s="4" t="s">
        <v>128</v>
      </c>
    </row>
    <row r="340" spans="2:11">
      <c r="B340" s="1">
        <v>507</v>
      </c>
      <c r="C340" s="4" t="s">
        <v>360</v>
      </c>
      <c r="D340" s="19">
        <f t="shared" si="5"/>
        <v>0</v>
      </c>
      <c r="E340" s="19">
        <f>SUMIF('C1'!$B$6:$B$2228,B340,'C1'!$D$6:$D$2228)</f>
        <v>0</v>
      </c>
      <c r="F340" s="19">
        <f>SUMIF('C2'!$B$6:$B$2228,B340,'C2'!$D$6:$D$2228)</f>
        <v>0</v>
      </c>
      <c r="G340" s="19">
        <f>SUMIF('C3'!$B$6:$B$2228,B340,'C3'!$D$6:$D$2228)</f>
        <v>0</v>
      </c>
      <c r="H340" s="22"/>
      <c r="I340" s="22"/>
      <c r="J340" s="4" t="s">
        <v>127</v>
      </c>
      <c r="K340" s="4" t="s">
        <v>128</v>
      </c>
    </row>
    <row r="341" spans="2:11">
      <c r="B341" s="1">
        <v>508</v>
      </c>
      <c r="C341" s="4" t="s">
        <v>361</v>
      </c>
      <c r="D341" s="19">
        <f t="shared" si="5"/>
        <v>0</v>
      </c>
      <c r="E341" s="19">
        <f>SUMIF('C1'!$B$6:$B$2228,B341,'C1'!$D$6:$D$2228)</f>
        <v>0</v>
      </c>
      <c r="F341" s="19">
        <f>SUMIF('C2'!$B$6:$B$2228,B341,'C2'!$D$6:$D$2228)</f>
        <v>0</v>
      </c>
      <c r="G341" s="19">
        <f>SUMIF('C3'!$B$6:$B$2228,B341,'C3'!$D$6:$D$2228)</f>
        <v>0</v>
      </c>
      <c r="H341" s="22"/>
      <c r="I341" s="22"/>
      <c r="J341" s="4" t="s">
        <v>127</v>
      </c>
      <c r="K341" s="4" t="s">
        <v>128</v>
      </c>
    </row>
    <row r="342" spans="2:11">
      <c r="B342" s="1">
        <v>509</v>
      </c>
      <c r="C342" s="4" t="s">
        <v>362</v>
      </c>
      <c r="D342" s="19">
        <f t="shared" si="5"/>
        <v>0</v>
      </c>
      <c r="E342" s="19">
        <f>SUMIF('C1'!$B$6:$B$2228,B342,'C1'!$D$6:$D$2228)</f>
        <v>0</v>
      </c>
      <c r="F342" s="19">
        <f>SUMIF('C2'!$B$6:$B$2228,B342,'C2'!$D$6:$D$2228)</f>
        <v>0</v>
      </c>
      <c r="G342" s="19">
        <f>SUMIF('C3'!$B$6:$B$2228,B342,'C3'!$D$6:$D$2228)</f>
        <v>0</v>
      </c>
      <c r="H342" s="22"/>
      <c r="I342" s="22"/>
      <c r="J342" s="4" t="s">
        <v>127</v>
      </c>
      <c r="K342" s="4" t="s">
        <v>128</v>
      </c>
    </row>
    <row r="343" spans="2:11">
      <c r="B343" s="1">
        <v>510</v>
      </c>
      <c r="C343" s="4" t="s">
        <v>363</v>
      </c>
      <c r="D343" s="19">
        <f t="shared" si="5"/>
        <v>0</v>
      </c>
      <c r="E343" s="19">
        <f>SUMIF('C1'!$B$6:$B$2228,B343,'C1'!$D$6:$D$2228)</f>
        <v>0</v>
      </c>
      <c r="F343" s="19">
        <f>SUMIF('C2'!$B$6:$B$2228,B343,'C2'!$D$6:$D$2228)</f>
        <v>0</v>
      </c>
      <c r="G343" s="19">
        <f>SUMIF('C3'!$B$6:$B$2228,B343,'C3'!$D$6:$D$2228)</f>
        <v>0</v>
      </c>
      <c r="H343" s="22"/>
      <c r="I343" s="22"/>
      <c r="J343" s="4" t="s">
        <v>127</v>
      </c>
      <c r="K343" s="4" t="s">
        <v>128</v>
      </c>
    </row>
    <row r="344" spans="2:11">
      <c r="B344" s="1">
        <v>511</v>
      </c>
      <c r="C344" s="4" t="s">
        <v>364</v>
      </c>
      <c r="D344" s="19">
        <f t="shared" si="5"/>
        <v>0</v>
      </c>
      <c r="E344" s="19">
        <f>SUMIF('C1'!$B$6:$B$2228,B344,'C1'!$D$6:$D$2228)</f>
        <v>0</v>
      </c>
      <c r="F344" s="19">
        <f>SUMIF('C2'!$B$6:$B$2228,B344,'C2'!$D$6:$D$2228)</f>
        <v>0</v>
      </c>
      <c r="G344" s="19">
        <f>SUMIF('C3'!$B$6:$B$2228,B344,'C3'!$D$6:$D$2228)</f>
        <v>0</v>
      </c>
      <c r="H344" s="22"/>
      <c r="I344" s="22"/>
      <c r="J344" s="4" t="s">
        <v>127</v>
      </c>
      <c r="K344" s="4" t="s">
        <v>128</v>
      </c>
    </row>
    <row r="345" spans="2:11">
      <c r="B345" s="1">
        <v>512</v>
      </c>
      <c r="C345" s="4" t="s">
        <v>365</v>
      </c>
      <c r="D345" s="19">
        <f t="shared" si="5"/>
        <v>0</v>
      </c>
      <c r="E345" s="19">
        <f>SUMIF('C1'!$B$6:$B$2228,B345,'C1'!$D$6:$D$2228)</f>
        <v>0</v>
      </c>
      <c r="F345" s="19">
        <f>SUMIF('C2'!$B$6:$B$2228,B345,'C2'!$D$6:$D$2228)</f>
        <v>0</v>
      </c>
      <c r="G345" s="19">
        <f>SUMIF('C3'!$B$6:$B$2228,B345,'C3'!$D$6:$D$2228)</f>
        <v>0</v>
      </c>
      <c r="H345" s="22"/>
      <c r="I345" s="22"/>
      <c r="J345" s="4" t="s">
        <v>127</v>
      </c>
      <c r="K345" s="4" t="s">
        <v>148</v>
      </c>
    </row>
    <row r="346" spans="2:11">
      <c r="B346" s="1">
        <v>513</v>
      </c>
      <c r="C346" s="4" t="s">
        <v>366</v>
      </c>
      <c r="D346" s="19">
        <f t="shared" si="5"/>
        <v>0</v>
      </c>
      <c r="E346" s="19">
        <f>SUMIF('C1'!$B$6:$B$2228,B346,'C1'!$D$6:$D$2228)</f>
        <v>0</v>
      </c>
      <c r="F346" s="19">
        <f>SUMIF('C2'!$B$6:$B$2228,B346,'C2'!$D$6:$D$2228)</f>
        <v>0</v>
      </c>
      <c r="G346" s="19">
        <f>SUMIF('C3'!$B$6:$B$2228,B346,'C3'!$D$6:$D$2228)</f>
        <v>0</v>
      </c>
      <c r="H346" s="22"/>
      <c r="I346" s="22"/>
      <c r="J346" s="4" t="s">
        <v>127</v>
      </c>
      <c r="K346" s="4" t="s">
        <v>150</v>
      </c>
    </row>
    <row r="347" spans="2:11">
      <c r="B347" s="1">
        <v>514</v>
      </c>
      <c r="C347" s="4" t="s">
        <v>367</v>
      </c>
      <c r="D347" s="19">
        <f t="shared" si="5"/>
        <v>0</v>
      </c>
      <c r="E347" s="19">
        <f>SUMIF('C1'!$B$6:$B$2228,B347,'C1'!$D$6:$D$2228)</f>
        <v>0</v>
      </c>
      <c r="F347" s="19">
        <f>SUMIF('C2'!$B$6:$B$2228,B347,'C2'!$D$6:$D$2228)</f>
        <v>0</v>
      </c>
      <c r="G347" s="19">
        <f>SUMIF('C3'!$B$6:$B$2228,B347,'C3'!$D$6:$D$2228)</f>
        <v>0</v>
      </c>
      <c r="H347" s="22"/>
      <c r="I347" s="22"/>
      <c r="J347" s="4" t="s">
        <v>127</v>
      </c>
      <c r="K347" s="4" t="s">
        <v>128</v>
      </c>
    </row>
    <row r="348" spans="2:11">
      <c r="B348" s="1">
        <v>515</v>
      </c>
      <c r="C348" s="4" t="s">
        <v>368</v>
      </c>
      <c r="D348" s="19">
        <f t="shared" si="5"/>
        <v>0</v>
      </c>
      <c r="E348" s="19">
        <f>SUMIF('C1'!$B$6:$B$2228,B348,'C1'!$D$6:$D$2228)</f>
        <v>0</v>
      </c>
      <c r="F348" s="19">
        <f>SUMIF('C2'!$B$6:$B$2228,B348,'C2'!$D$6:$D$2228)</f>
        <v>0</v>
      </c>
      <c r="G348" s="19">
        <f>SUMIF('C3'!$B$6:$B$2228,B348,'C3'!$D$6:$D$2228)</f>
        <v>0</v>
      </c>
      <c r="H348" s="22"/>
      <c r="I348" s="22"/>
      <c r="J348" s="4" t="s">
        <v>127</v>
      </c>
      <c r="K348" s="4" t="s">
        <v>150</v>
      </c>
    </row>
    <row r="349" spans="2:11">
      <c r="B349" s="1">
        <v>516</v>
      </c>
      <c r="C349" s="4" t="s">
        <v>369</v>
      </c>
      <c r="D349" s="19">
        <f t="shared" si="5"/>
        <v>0</v>
      </c>
      <c r="E349" s="19">
        <f>SUMIF('C1'!$B$6:$B$2228,B349,'C1'!$D$6:$D$2228)</f>
        <v>0</v>
      </c>
      <c r="F349" s="19">
        <f>SUMIF('C2'!$B$6:$B$2228,B349,'C2'!$D$6:$D$2228)</f>
        <v>0</v>
      </c>
      <c r="G349" s="19">
        <f>SUMIF('C3'!$B$6:$B$2228,B349,'C3'!$D$6:$D$2228)</f>
        <v>0</v>
      </c>
      <c r="H349" s="22"/>
      <c r="I349" s="22"/>
      <c r="J349" s="4" t="s">
        <v>127</v>
      </c>
      <c r="K349" s="4" t="s">
        <v>128</v>
      </c>
    </row>
    <row r="350" spans="2:11">
      <c r="B350" s="1">
        <v>517</v>
      </c>
      <c r="C350" s="4" t="s">
        <v>370</v>
      </c>
      <c r="D350" s="19">
        <f t="shared" si="5"/>
        <v>0</v>
      </c>
      <c r="E350" s="19">
        <f>SUMIF('C1'!$B$6:$B$2228,B350,'C1'!$D$6:$D$2228)</f>
        <v>0</v>
      </c>
      <c r="F350" s="19">
        <f>SUMIF('C2'!$B$6:$B$2228,B350,'C2'!$D$6:$D$2228)</f>
        <v>0</v>
      </c>
      <c r="G350" s="19">
        <f>SUMIF('C3'!$B$6:$B$2228,B350,'C3'!$D$6:$D$2228)</f>
        <v>0</v>
      </c>
      <c r="H350" s="22"/>
      <c r="I350" s="22"/>
      <c r="J350" s="4" t="s">
        <v>127</v>
      </c>
      <c r="K350" s="4" t="s">
        <v>128</v>
      </c>
    </row>
    <row r="351" spans="2:11">
      <c r="B351" s="1">
        <v>518</v>
      </c>
      <c r="C351" s="4" t="s">
        <v>371</v>
      </c>
      <c r="D351" s="19">
        <f t="shared" si="5"/>
        <v>0</v>
      </c>
      <c r="E351" s="19">
        <f>SUMIF('C1'!$B$6:$B$2228,B351,'C1'!$D$6:$D$2228)</f>
        <v>0</v>
      </c>
      <c r="F351" s="19">
        <f>SUMIF('C2'!$B$6:$B$2228,B351,'C2'!$D$6:$D$2228)</f>
        <v>0</v>
      </c>
      <c r="G351" s="19">
        <f>SUMIF('C3'!$B$6:$B$2228,B351,'C3'!$D$6:$D$2228)</f>
        <v>0</v>
      </c>
      <c r="H351" s="22"/>
      <c r="I351" s="22"/>
      <c r="J351" s="4" t="s">
        <v>51</v>
      </c>
      <c r="K351" s="4" t="s">
        <v>52</v>
      </c>
    </row>
    <row r="352" spans="2:11">
      <c r="B352" s="1">
        <v>519</v>
      </c>
      <c r="C352" s="4" t="s">
        <v>372</v>
      </c>
      <c r="D352" s="19">
        <f t="shared" si="5"/>
        <v>258</v>
      </c>
      <c r="E352" s="19">
        <f>SUMIF('C1'!$B$6:$B$2228,B352,'C1'!$D$6:$D$2228)</f>
        <v>258</v>
      </c>
      <c r="F352" s="19">
        <f>SUMIF('C2'!$B$6:$B$2228,B352,'C2'!$D$6:$D$2228)</f>
        <v>0</v>
      </c>
      <c r="G352" s="19">
        <f>SUMIF('C3'!$B$6:$B$2228,B352,'C3'!$D$6:$D$2228)</f>
        <v>0</v>
      </c>
      <c r="H352" s="22"/>
      <c r="I352" s="22"/>
      <c r="J352" s="4" t="s">
        <v>12</v>
      </c>
      <c r="K352" s="4" t="s">
        <v>88</v>
      </c>
    </row>
    <row r="353" spans="2:11">
      <c r="B353" s="1">
        <v>520</v>
      </c>
      <c r="C353" s="4" t="s">
        <v>373</v>
      </c>
      <c r="D353" s="19">
        <f t="shared" si="5"/>
        <v>0</v>
      </c>
      <c r="E353" s="19">
        <f>SUMIF('C1'!$B$6:$B$2228,B353,'C1'!$D$6:$D$2228)</f>
        <v>0</v>
      </c>
      <c r="F353" s="19">
        <f>SUMIF('C2'!$B$6:$B$2228,B353,'C2'!$D$6:$D$2228)</f>
        <v>0</v>
      </c>
      <c r="G353" s="19">
        <f>SUMIF('C3'!$B$6:$B$2228,B353,'C3'!$D$6:$D$2228)</f>
        <v>0</v>
      </c>
      <c r="H353" s="22"/>
      <c r="I353" s="22"/>
      <c r="J353" s="4" t="s">
        <v>12</v>
      </c>
      <c r="K353" s="4" t="s">
        <v>88</v>
      </c>
    </row>
    <row r="354" spans="2:11">
      <c r="B354" s="1">
        <v>521</v>
      </c>
      <c r="C354" s="4" t="s">
        <v>374</v>
      </c>
      <c r="D354" s="19">
        <f t="shared" si="5"/>
        <v>0</v>
      </c>
      <c r="E354" s="19">
        <f>SUMIF('C1'!$B$6:$B$2228,B354,'C1'!$D$6:$D$2228)</f>
        <v>0</v>
      </c>
      <c r="F354" s="19">
        <f>SUMIF('C2'!$B$6:$B$2228,B354,'C2'!$D$6:$D$2228)</f>
        <v>0</v>
      </c>
      <c r="G354" s="19">
        <f>SUMIF('C3'!$B$6:$B$2228,B354,'C3'!$D$6:$D$2228)</f>
        <v>0</v>
      </c>
      <c r="H354" s="22"/>
      <c r="I354" s="22"/>
      <c r="J354" s="4" t="s">
        <v>12</v>
      </c>
      <c r="K354" s="4" t="s">
        <v>88</v>
      </c>
    </row>
    <row r="355" spans="2:11">
      <c r="B355" s="1">
        <v>522</v>
      </c>
      <c r="C355" s="4" t="s">
        <v>375</v>
      </c>
      <c r="D355" s="19">
        <f t="shared" si="5"/>
        <v>0</v>
      </c>
      <c r="E355" s="19">
        <f>SUMIF('C1'!$B$6:$B$2228,B355,'C1'!$D$6:$D$2228)</f>
        <v>0</v>
      </c>
      <c r="F355" s="19">
        <f>SUMIF('C2'!$B$6:$B$2228,B355,'C2'!$D$6:$D$2228)</f>
        <v>0</v>
      </c>
      <c r="G355" s="19">
        <f>SUMIF('C3'!$B$6:$B$2228,B355,'C3'!$D$6:$D$2228)</f>
        <v>0</v>
      </c>
      <c r="H355" s="22"/>
      <c r="I355" s="22"/>
      <c r="J355" s="4" t="s">
        <v>51</v>
      </c>
      <c r="K355" s="4" t="s">
        <v>52</v>
      </c>
    </row>
    <row r="356" spans="2:11">
      <c r="B356" s="1">
        <v>523</v>
      </c>
      <c r="C356" s="4" t="s">
        <v>376</v>
      </c>
      <c r="D356" s="19">
        <f t="shared" si="5"/>
        <v>0</v>
      </c>
      <c r="E356" s="19">
        <f>SUMIF('C1'!$B$6:$B$2228,B356,'C1'!$D$6:$D$2228)</f>
        <v>0</v>
      </c>
      <c r="F356" s="19">
        <f>SUMIF('C2'!$B$6:$B$2228,B356,'C2'!$D$6:$D$2228)</f>
        <v>0</v>
      </c>
      <c r="G356" s="19">
        <f>SUMIF('C3'!$B$6:$B$2228,B356,'C3'!$D$6:$D$2228)</f>
        <v>0</v>
      </c>
      <c r="H356" s="22"/>
      <c r="I356" s="22"/>
      <c r="J356" s="4" t="s">
        <v>12</v>
      </c>
      <c r="K356" s="4" t="s">
        <v>13</v>
      </c>
    </row>
    <row r="357" spans="2:11">
      <c r="B357" s="1">
        <v>524</v>
      </c>
      <c r="C357" s="4" t="s">
        <v>377</v>
      </c>
      <c r="D357" s="19">
        <f t="shared" si="5"/>
        <v>0</v>
      </c>
      <c r="E357" s="19">
        <f>SUMIF('C1'!$B$6:$B$2228,B357,'C1'!$D$6:$D$2228)</f>
        <v>0</v>
      </c>
      <c r="F357" s="19">
        <f>SUMIF('C2'!$B$6:$B$2228,B357,'C2'!$D$6:$D$2228)</f>
        <v>0</v>
      </c>
      <c r="G357" s="19">
        <f>SUMIF('C3'!$B$6:$B$2228,B357,'C3'!$D$6:$D$2228)</f>
        <v>0</v>
      </c>
      <c r="H357" s="22"/>
      <c r="I357" s="22"/>
      <c r="J357" s="4" t="s">
        <v>127</v>
      </c>
      <c r="K357" s="4" t="s">
        <v>128</v>
      </c>
    </row>
    <row r="358" spans="2:11">
      <c r="B358" s="1">
        <v>525</v>
      </c>
      <c r="C358" s="4" t="s">
        <v>378</v>
      </c>
      <c r="D358" s="19">
        <f t="shared" si="5"/>
        <v>0</v>
      </c>
      <c r="E358" s="19">
        <f>SUMIF('C1'!$B$6:$B$2228,B358,'C1'!$D$6:$D$2228)</f>
        <v>0</v>
      </c>
      <c r="F358" s="19">
        <f>SUMIF('C2'!$B$6:$B$2228,B358,'C2'!$D$6:$D$2228)</f>
        <v>0</v>
      </c>
      <c r="G358" s="19">
        <f>SUMIF('C3'!$B$6:$B$2228,B358,'C3'!$D$6:$D$2228)</f>
        <v>0</v>
      </c>
      <c r="H358" s="22"/>
      <c r="I358" s="22"/>
      <c r="J358" s="4" t="s">
        <v>51</v>
      </c>
      <c r="K358" s="4" t="s">
        <v>379</v>
      </c>
    </row>
    <row r="359" spans="2:11">
      <c r="B359" s="1">
        <v>526</v>
      </c>
      <c r="C359" s="4" t="s">
        <v>380</v>
      </c>
      <c r="D359" s="19">
        <f t="shared" si="5"/>
        <v>0</v>
      </c>
      <c r="E359" s="19">
        <f>SUMIF('C1'!$B$6:$B$2228,B359,'C1'!$D$6:$D$2228)</f>
        <v>0</v>
      </c>
      <c r="F359" s="19">
        <f>SUMIF('C2'!$B$6:$B$2228,B359,'C2'!$D$6:$D$2228)</f>
        <v>0</v>
      </c>
      <c r="G359" s="19">
        <f>SUMIF('C3'!$B$6:$B$2228,B359,'C3'!$D$6:$D$2228)</f>
        <v>0</v>
      </c>
      <c r="H359" s="22"/>
      <c r="I359" s="22"/>
      <c r="J359" s="4" t="s">
        <v>127</v>
      </c>
      <c r="K359" s="4" t="s">
        <v>128</v>
      </c>
    </row>
    <row r="360" spans="2:11">
      <c r="B360" s="1">
        <v>527</v>
      </c>
      <c r="C360" s="4" t="s">
        <v>381</v>
      </c>
      <c r="D360" s="19">
        <f t="shared" si="5"/>
        <v>0</v>
      </c>
      <c r="E360" s="19">
        <f>SUMIF('C1'!$B$6:$B$2228,B360,'C1'!$D$6:$D$2228)</f>
        <v>0</v>
      </c>
      <c r="F360" s="19">
        <f>SUMIF('C2'!$B$6:$B$2228,B360,'C2'!$D$6:$D$2228)</f>
        <v>0</v>
      </c>
      <c r="G360" s="19">
        <f>SUMIF('C3'!$B$6:$B$2228,B360,'C3'!$D$6:$D$2228)</f>
        <v>0</v>
      </c>
      <c r="H360" s="22"/>
      <c r="I360" s="22"/>
      <c r="J360" s="4" t="s">
        <v>127</v>
      </c>
      <c r="K360" s="4" t="s">
        <v>128</v>
      </c>
    </row>
    <row r="361" spans="2:11">
      <c r="B361" s="1">
        <v>528</v>
      </c>
      <c r="C361" s="4" t="s">
        <v>382</v>
      </c>
      <c r="D361" s="19">
        <f t="shared" si="5"/>
        <v>0</v>
      </c>
      <c r="E361" s="19">
        <f>SUMIF('C1'!$B$6:$B$2228,B361,'C1'!$D$6:$D$2228)</f>
        <v>0</v>
      </c>
      <c r="F361" s="19">
        <f>SUMIF('C2'!$B$6:$B$2228,B361,'C2'!$D$6:$D$2228)</f>
        <v>0</v>
      </c>
      <c r="G361" s="19">
        <f>SUMIF('C3'!$B$6:$B$2228,B361,'C3'!$D$6:$D$2228)</f>
        <v>0</v>
      </c>
      <c r="H361" s="22"/>
      <c r="I361" s="22"/>
      <c r="J361" s="4" t="s">
        <v>127</v>
      </c>
      <c r="K361" s="4" t="s">
        <v>128</v>
      </c>
    </row>
    <row r="362" spans="2:11">
      <c r="B362" s="1">
        <v>529</v>
      </c>
      <c r="C362" s="4" t="s">
        <v>383</v>
      </c>
      <c r="D362" s="19">
        <f t="shared" si="5"/>
        <v>0</v>
      </c>
      <c r="E362" s="19">
        <f>SUMIF('C1'!$B$6:$B$2228,B362,'C1'!$D$6:$D$2228)</f>
        <v>0</v>
      </c>
      <c r="F362" s="19">
        <f>SUMIF('C2'!$B$6:$B$2228,B362,'C2'!$D$6:$D$2228)</f>
        <v>0</v>
      </c>
      <c r="G362" s="19">
        <f>SUMIF('C3'!$B$6:$B$2228,B362,'C3'!$D$6:$D$2228)</f>
        <v>0</v>
      </c>
      <c r="H362" s="22"/>
      <c r="I362" s="22"/>
      <c r="J362" s="4" t="s">
        <v>12</v>
      </c>
      <c r="K362" s="4" t="s">
        <v>13</v>
      </c>
    </row>
    <row r="363" spans="2:11">
      <c r="B363" s="1">
        <v>530</v>
      </c>
      <c r="C363" s="4" t="s">
        <v>384</v>
      </c>
      <c r="D363" s="19">
        <f t="shared" si="5"/>
        <v>84</v>
      </c>
      <c r="E363" s="19">
        <f>SUMIF('C1'!$B$6:$B$2228,B363,'C1'!$D$6:$D$2228)</f>
        <v>84</v>
      </c>
      <c r="F363" s="19">
        <f>SUMIF('C2'!$B$6:$B$2228,B363,'C2'!$D$6:$D$2228)</f>
        <v>0</v>
      </c>
      <c r="G363" s="19">
        <f>SUMIF('C3'!$B$6:$B$2228,B363,'C3'!$D$6:$D$2228)</f>
        <v>0</v>
      </c>
      <c r="H363" s="22"/>
      <c r="I363" s="22"/>
      <c r="J363" s="4" t="s">
        <v>127</v>
      </c>
      <c r="K363" s="4" t="s">
        <v>128</v>
      </c>
    </row>
    <row r="364" spans="2:11">
      <c r="B364" s="1">
        <v>531</v>
      </c>
      <c r="C364" s="4" t="s">
        <v>385</v>
      </c>
      <c r="D364" s="19">
        <f t="shared" si="5"/>
        <v>0</v>
      </c>
      <c r="E364" s="19">
        <f>SUMIF('C1'!$B$6:$B$2228,B364,'C1'!$D$6:$D$2228)</f>
        <v>0</v>
      </c>
      <c r="F364" s="19">
        <f>SUMIF('C2'!$B$6:$B$2228,B364,'C2'!$D$6:$D$2228)</f>
        <v>0</v>
      </c>
      <c r="G364" s="19">
        <f>SUMIF('C3'!$B$6:$B$2228,B364,'C3'!$D$6:$D$2228)</f>
        <v>0</v>
      </c>
      <c r="H364" s="22"/>
      <c r="I364" s="22"/>
      <c r="J364" s="4" t="s">
        <v>127</v>
      </c>
      <c r="K364" s="4" t="s">
        <v>128</v>
      </c>
    </row>
    <row r="365" spans="2:11">
      <c r="B365" s="1">
        <v>532</v>
      </c>
      <c r="C365" s="4" t="s">
        <v>386</v>
      </c>
      <c r="D365" s="19">
        <f t="shared" si="5"/>
        <v>0</v>
      </c>
      <c r="E365" s="19">
        <f>SUMIF('C1'!$B$6:$B$2228,B365,'C1'!$D$6:$D$2228)</f>
        <v>0</v>
      </c>
      <c r="F365" s="19">
        <f>SUMIF('C2'!$B$6:$B$2228,B365,'C2'!$D$6:$D$2228)</f>
        <v>0</v>
      </c>
      <c r="G365" s="19">
        <f>SUMIF('C3'!$B$6:$B$2228,B365,'C3'!$D$6:$D$2228)</f>
        <v>0</v>
      </c>
      <c r="H365" s="22"/>
      <c r="I365" s="22"/>
      <c r="J365" s="4" t="s">
        <v>127</v>
      </c>
      <c r="K365" s="4" t="s">
        <v>128</v>
      </c>
    </row>
    <row r="366" spans="2:11">
      <c r="B366" s="1">
        <v>533</v>
      </c>
      <c r="C366" s="4" t="s">
        <v>387</v>
      </c>
      <c r="D366" s="19">
        <f t="shared" si="5"/>
        <v>0</v>
      </c>
      <c r="E366" s="19">
        <f>SUMIF('C1'!$B$6:$B$2228,B366,'C1'!$D$6:$D$2228)</f>
        <v>0</v>
      </c>
      <c r="F366" s="19">
        <f>SUMIF('C2'!$B$6:$B$2228,B366,'C2'!$D$6:$D$2228)</f>
        <v>0</v>
      </c>
      <c r="G366" s="19">
        <f>SUMIF('C3'!$B$6:$B$2228,B366,'C3'!$D$6:$D$2228)</f>
        <v>0</v>
      </c>
      <c r="H366" s="22"/>
      <c r="I366" s="22"/>
      <c r="J366" s="4" t="s">
        <v>51</v>
      </c>
      <c r="K366" s="4" t="s">
        <v>52</v>
      </c>
    </row>
    <row r="367" spans="2:11">
      <c r="B367" s="1">
        <v>534</v>
      </c>
      <c r="C367" s="4" t="s">
        <v>388</v>
      </c>
      <c r="D367" s="19">
        <f t="shared" si="5"/>
        <v>0</v>
      </c>
      <c r="E367" s="19">
        <f>SUMIF('C1'!$B$6:$B$2228,B367,'C1'!$D$6:$D$2228)</f>
        <v>0</v>
      </c>
      <c r="F367" s="19">
        <f>SUMIF('C2'!$B$6:$B$2228,B367,'C2'!$D$6:$D$2228)</f>
        <v>0</v>
      </c>
      <c r="G367" s="19">
        <f>SUMIF('C3'!$B$6:$B$2228,B367,'C3'!$D$6:$D$2228)</f>
        <v>0</v>
      </c>
      <c r="H367" s="22"/>
      <c r="I367" s="22"/>
      <c r="J367" s="4" t="s">
        <v>12</v>
      </c>
      <c r="K367" s="4" t="s">
        <v>88</v>
      </c>
    </row>
    <row r="368" spans="2:11">
      <c r="B368" s="1">
        <v>535</v>
      </c>
      <c r="C368" s="4" t="s">
        <v>389</v>
      </c>
      <c r="D368" s="19">
        <f t="shared" si="5"/>
        <v>0</v>
      </c>
      <c r="E368" s="19">
        <f>SUMIF('C1'!$B$6:$B$2228,B368,'C1'!$D$6:$D$2228)</f>
        <v>0</v>
      </c>
      <c r="F368" s="19">
        <f>SUMIF('C2'!$B$6:$B$2228,B368,'C2'!$D$6:$D$2228)</f>
        <v>0</v>
      </c>
      <c r="G368" s="19">
        <f>SUMIF('C3'!$B$6:$B$2228,B368,'C3'!$D$6:$D$2228)</f>
        <v>0</v>
      </c>
      <c r="H368" s="22"/>
      <c r="I368" s="22"/>
      <c r="J368" s="4" t="s">
        <v>12</v>
      </c>
      <c r="K368" s="4" t="s">
        <v>88</v>
      </c>
    </row>
    <row r="369" spans="2:11">
      <c r="B369" s="1">
        <v>536</v>
      </c>
      <c r="C369" s="4" t="s">
        <v>390</v>
      </c>
      <c r="D369" s="19">
        <f t="shared" si="5"/>
        <v>0</v>
      </c>
      <c r="E369" s="19">
        <f>SUMIF('C1'!$B$6:$B$2228,B369,'C1'!$D$6:$D$2228)</f>
        <v>0</v>
      </c>
      <c r="F369" s="19">
        <f>SUMIF('C2'!$B$6:$B$2228,B369,'C2'!$D$6:$D$2228)</f>
        <v>0</v>
      </c>
      <c r="G369" s="19">
        <f>SUMIF('C3'!$B$6:$B$2228,B369,'C3'!$D$6:$D$2228)</f>
        <v>0</v>
      </c>
      <c r="H369" s="22"/>
      <c r="I369" s="22"/>
      <c r="J369" s="4" t="s">
        <v>12</v>
      </c>
      <c r="K369" s="4" t="s">
        <v>88</v>
      </c>
    </row>
    <row r="370" spans="2:11">
      <c r="B370" s="1">
        <v>537</v>
      </c>
      <c r="C370" s="4" t="s">
        <v>391</v>
      </c>
      <c r="D370" s="19">
        <f t="shared" si="5"/>
        <v>0</v>
      </c>
      <c r="E370" s="19">
        <f>SUMIF('C1'!$B$6:$B$2228,B370,'C1'!$D$6:$D$2228)</f>
        <v>0</v>
      </c>
      <c r="F370" s="19">
        <f>SUMIF('C2'!$B$6:$B$2228,B370,'C2'!$D$6:$D$2228)</f>
        <v>0</v>
      </c>
      <c r="G370" s="19">
        <f>SUMIF('C3'!$B$6:$B$2228,B370,'C3'!$D$6:$D$2228)</f>
        <v>0</v>
      </c>
      <c r="H370" s="22"/>
      <c r="I370" s="22"/>
      <c r="J370" s="4" t="s">
        <v>51</v>
      </c>
      <c r="K370" s="4" t="s">
        <v>52</v>
      </c>
    </row>
    <row r="371" spans="2:11">
      <c r="B371" s="1">
        <v>538</v>
      </c>
      <c r="C371" s="4" t="s">
        <v>392</v>
      </c>
      <c r="D371" s="19">
        <f t="shared" si="5"/>
        <v>0</v>
      </c>
      <c r="E371" s="19">
        <f>SUMIF('C1'!$B$6:$B$2228,B371,'C1'!$D$6:$D$2228)</f>
        <v>0</v>
      </c>
      <c r="F371" s="19">
        <f>SUMIF('C2'!$B$6:$B$2228,B371,'C2'!$D$6:$D$2228)</f>
        <v>0</v>
      </c>
      <c r="G371" s="19">
        <f>SUMIF('C3'!$B$6:$B$2228,B371,'C3'!$D$6:$D$2228)</f>
        <v>0</v>
      </c>
      <c r="H371" s="22"/>
      <c r="I371" s="22"/>
      <c r="J371" s="4" t="s">
        <v>51</v>
      </c>
      <c r="K371" s="4" t="s">
        <v>52</v>
      </c>
    </row>
    <row r="372" spans="2:11">
      <c r="B372" s="1">
        <v>539</v>
      </c>
      <c r="C372" s="4" t="s">
        <v>393</v>
      </c>
      <c r="D372" s="19">
        <f t="shared" si="5"/>
        <v>0</v>
      </c>
      <c r="E372" s="19">
        <f>SUMIF('C1'!$B$6:$B$2228,B372,'C1'!$D$6:$D$2228)</f>
        <v>0</v>
      </c>
      <c r="F372" s="19">
        <f>SUMIF('C2'!$B$6:$B$2228,B372,'C2'!$D$6:$D$2228)</f>
        <v>0</v>
      </c>
      <c r="G372" s="19">
        <f>SUMIF('C3'!$B$6:$B$2228,B372,'C3'!$D$6:$D$2228)</f>
        <v>0</v>
      </c>
      <c r="H372" s="22"/>
      <c r="I372" s="22"/>
      <c r="J372" s="4" t="s">
        <v>51</v>
      </c>
      <c r="K372" s="4" t="s">
        <v>52</v>
      </c>
    </row>
    <row r="373" spans="2:11">
      <c r="B373" s="1">
        <v>540</v>
      </c>
      <c r="C373" s="4" t="s">
        <v>394</v>
      </c>
      <c r="D373" s="19">
        <f t="shared" si="5"/>
        <v>0</v>
      </c>
      <c r="E373" s="19">
        <f>SUMIF('C1'!$B$6:$B$2228,B373,'C1'!$D$6:$D$2228)</f>
        <v>0</v>
      </c>
      <c r="F373" s="19">
        <f>SUMIF('C2'!$B$6:$B$2228,B373,'C2'!$D$6:$D$2228)</f>
        <v>0</v>
      </c>
      <c r="G373" s="19">
        <f>SUMIF('C3'!$B$6:$B$2228,B373,'C3'!$D$6:$D$2228)</f>
        <v>0</v>
      </c>
      <c r="H373" s="22"/>
      <c r="I373" s="22"/>
      <c r="J373" s="4" t="s">
        <v>51</v>
      </c>
      <c r="K373" s="4" t="s">
        <v>52</v>
      </c>
    </row>
    <row r="374" spans="2:11">
      <c r="B374" s="1">
        <v>541</v>
      </c>
      <c r="C374" s="4" t="s">
        <v>395</v>
      </c>
      <c r="D374" s="19">
        <f t="shared" si="5"/>
        <v>0</v>
      </c>
      <c r="E374" s="19">
        <f>SUMIF('C1'!$B$6:$B$2228,B374,'C1'!$D$6:$D$2228)</f>
        <v>0</v>
      </c>
      <c r="F374" s="19">
        <f>SUMIF('C2'!$B$6:$B$2228,B374,'C2'!$D$6:$D$2228)</f>
        <v>0</v>
      </c>
      <c r="G374" s="19">
        <f>SUMIF('C3'!$B$6:$B$2228,B374,'C3'!$D$6:$D$2228)</f>
        <v>0</v>
      </c>
      <c r="H374" s="22"/>
      <c r="I374" s="22"/>
      <c r="J374" s="4" t="s">
        <v>51</v>
      </c>
      <c r="K374" s="4" t="s">
        <v>52</v>
      </c>
    </row>
    <row r="375" spans="2:11">
      <c r="B375" s="1">
        <v>542</v>
      </c>
      <c r="C375" s="4" t="s">
        <v>396</v>
      </c>
      <c r="D375" s="19">
        <f t="shared" si="5"/>
        <v>0</v>
      </c>
      <c r="E375" s="19">
        <f>SUMIF('C1'!$B$6:$B$2228,B375,'C1'!$D$6:$D$2228)</f>
        <v>0</v>
      </c>
      <c r="F375" s="19">
        <f>SUMIF('C2'!$B$6:$B$2228,B375,'C2'!$D$6:$D$2228)</f>
        <v>0</v>
      </c>
      <c r="G375" s="19">
        <f>SUMIF('C3'!$B$6:$B$2228,B375,'C3'!$D$6:$D$2228)</f>
        <v>0</v>
      </c>
      <c r="H375" s="22"/>
      <c r="I375" s="22"/>
      <c r="J375" s="4" t="s">
        <v>51</v>
      </c>
      <c r="K375" s="4" t="s">
        <v>52</v>
      </c>
    </row>
    <row r="376" spans="2:11">
      <c r="B376" s="1">
        <v>543</v>
      </c>
      <c r="C376" s="4" t="s">
        <v>397</v>
      </c>
      <c r="D376" s="19">
        <f t="shared" si="5"/>
        <v>0</v>
      </c>
      <c r="E376" s="19">
        <f>SUMIF('C1'!$B$6:$B$2228,B376,'C1'!$D$6:$D$2228)</f>
        <v>0</v>
      </c>
      <c r="F376" s="19">
        <f>SUMIF('C2'!$B$6:$B$2228,B376,'C2'!$D$6:$D$2228)</f>
        <v>0</v>
      </c>
      <c r="G376" s="19">
        <f>SUMIF('C3'!$B$6:$B$2228,B376,'C3'!$D$6:$D$2228)</f>
        <v>0</v>
      </c>
      <c r="H376" s="22"/>
      <c r="I376" s="22"/>
      <c r="J376" s="4" t="s">
        <v>127</v>
      </c>
      <c r="K376" s="4" t="s">
        <v>128</v>
      </c>
    </row>
    <row r="377" spans="2:11">
      <c r="B377" s="1">
        <v>544</v>
      </c>
      <c r="C377" s="4" t="s">
        <v>398</v>
      </c>
      <c r="D377" s="19">
        <f t="shared" si="5"/>
        <v>0</v>
      </c>
      <c r="E377" s="19">
        <f>SUMIF('C1'!$B$6:$B$2228,B377,'C1'!$D$6:$D$2228)</f>
        <v>0</v>
      </c>
      <c r="F377" s="19">
        <f>SUMIF('C2'!$B$6:$B$2228,B377,'C2'!$D$6:$D$2228)</f>
        <v>0</v>
      </c>
      <c r="G377" s="19">
        <f>SUMIF('C3'!$B$6:$B$2228,B377,'C3'!$D$6:$D$2228)</f>
        <v>0</v>
      </c>
      <c r="H377" s="22"/>
      <c r="I377" s="22"/>
      <c r="J377" s="4" t="s">
        <v>12</v>
      </c>
      <c r="K377" s="4" t="s">
        <v>13</v>
      </c>
    </row>
    <row r="378" spans="2:11">
      <c r="B378" s="1">
        <v>545</v>
      </c>
      <c r="C378" s="4" t="s">
        <v>399</v>
      </c>
      <c r="D378" s="19">
        <f t="shared" si="5"/>
        <v>0</v>
      </c>
      <c r="E378" s="19">
        <f>SUMIF('C1'!$B$6:$B$2228,B378,'C1'!$D$6:$D$2228)</f>
        <v>0</v>
      </c>
      <c r="F378" s="19">
        <f>SUMIF('C2'!$B$6:$B$2228,B378,'C2'!$D$6:$D$2228)</f>
        <v>0</v>
      </c>
      <c r="G378" s="19">
        <f>SUMIF('C3'!$B$6:$B$2228,B378,'C3'!$D$6:$D$2228)</f>
        <v>0</v>
      </c>
      <c r="H378" s="22"/>
      <c r="I378" s="22"/>
      <c r="J378" s="4" t="s">
        <v>127</v>
      </c>
      <c r="K378" s="4" t="s">
        <v>128</v>
      </c>
    </row>
    <row r="379" spans="2:11">
      <c r="B379" s="1">
        <v>546</v>
      </c>
      <c r="C379" s="4" t="s">
        <v>400</v>
      </c>
      <c r="D379" s="19">
        <f t="shared" si="5"/>
        <v>0</v>
      </c>
      <c r="E379" s="19">
        <f>SUMIF('C1'!$B$6:$B$2228,B379,'C1'!$D$6:$D$2228)</f>
        <v>0</v>
      </c>
      <c r="F379" s="19">
        <f>SUMIF('C2'!$B$6:$B$2228,B379,'C2'!$D$6:$D$2228)</f>
        <v>0</v>
      </c>
      <c r="G379" s="19">
        <f>SUMIF('C3'!$B$6:$B$2228,B379,'C3'!$D$6:$D$2228)</f>
        <v>0</v>
      </c>
      <c r="H379" s="22"/>
      <c r="I379" s="22"/>
      <c r="J379" s="4" t="s">
        <v>127</v>
      </c>
      <c r="K379" s="4" t="s">
        <v>128</v>
      </c>
    </row>
    <row r="380" spans="2:11">
      <c r="B380" s="1">
        <v>547</v>
      </c>
      <c r="C380" s="4" t="s">
        <v>401</v>
      </c>
      <c r="D380" s="19">
        <f t="shared" si="5"/>
        <v>0</v>
      </c>
      <c r="E380" s="19">
        <f>SUMIF('C1'!$B$6:$B$2228,B380,'C1'!$D$6:$D$2228)</f>
        <v>0</v>
      </c>
      <c r="F380" s="19">
        <f>SUMIF('C2'!$B$6:$B$2228,B380,'C2'!$D$6:$D$2228)</f>
        <v>0</v>
      </c>
      <c r="G380" s="19">
        <f>SUMIF('C3'!$B$6:$B$2228,B380,'C3'!$D$6:$D$2228)</f>
        <v>0</v>
      </c>
      <c r="H380" s="22"/>
      <c r="I380" s="22"/>
      <c r="J380" s="4" t="s">
        <v>127</v>
      </c>
      <c r="K380" s="4" t="s">
        <v>128</v>
      </c>
    </row>
    <row r="381" spans="2:11">
      <c r="B381" s="1">
        <v>548</v>
      </c>
      <c r="C381" s="4" t="s">
        <v>402</v>
      </c>
      <c r="D381" s="19">
        <f t="shared" si="5"/>
        <v>0</v>
      </c>
      <c r="E381" s="19">
        <f>SUMIF('C1'!$B$6:$B$2228,B381,'C1'!$D$6:$D$2228)</f>
        <v>0</v>
      </c>
      <c r="F381" s="19">
        <f>SUMIF('C2'!$B$6:$B$2228,B381,'C2'!$D$6:$D$2228)</f>
        <v>0</v>
      </c>
      <c r="G381" s="19">
        <f>SUMIF('C3'!$B$6:$B$2228,B381,'C3'!$D$6:$D$2228)</f>
        <v>0</v>
      </c>
      <c r="H381" s="22"/>
      <c r="I381" s="22"/>
      <c r="J381" s="4" t="s">
        <v>12</v>
      </c>
      <c r="K381" s="4" t="s">
        <v>13</v>
      </c>
    </row>
    <row r="382" spans="2:11">
      <c r="B382" s="1">
        <v>549</v>
      </c>
      <c r="C382" s="4" t="s">
        <v>403</v>
      </c>
      <c r="D382" s="19">
        <f t="shared" si="5"/>
        <v>0</v>
      </c>
      <c r="E382" s="19">
        <f>SUMIF('C1'!$B$6:$B$2228,B382,'C1'!$D$6:$D$2228)</f>
        <v>0</v>
      </c>
      <c r="F382" s="19">
        <f>SUMIF('C2'!$B$6:$B$2228,B382,'C2'!$D$6:$D$2228)</f>
        <v>0</v>
      </c>
      <c r="G382" s="19">
        <f>SUMIF('C3'!$B$6:$B$2228,B382,'C3'!$D$6:$D$2228)</f>
        <v>0</v>
      </c>
      <c r="H382" s="22"/>
      <c r="I382" s="22"/>
      <c r="J382" s="4" t="s">
        <v>127</v>
      </c>
      <c r="K382" s="4" t="s">
        <v>128</v>
      </c>
    </row>
    <row r="383" spans="2:11">
      <c r="B383" s="1">
        <v>550</v>
      </c>
      <c r="C383" s="4" t="s">
        <v>404</v>
      </c>
      <c r="D383" s="19">
        <f t="shared" si="5"/>
        <v>0</v>
      </c>
      <c r="E383" s="19">
        <f>SUMIF('C1'!$B$6:$B$2228,B383,'C1'!$D$6:$D$2228)</f>
        <v>0</v>
      </c>
      <c r="F383" s="19">
        <f>SUMIF('C2'!$B$6:$B$2228,B383,'C2'!$D$6:$D$2228)</f>
        <v>0</v>
      </c>
      <c r="G383" s="19">
        <f>SUMIF('C3'!$B$6:$B$2228,B383,'C3'!$D$6:$D$2228)</f>
        <v>0</v>
      </c>
      <c r="H383" s="22"/>
      <c r="I383" s="22"/>
      <c r="J383" s="4" t="s">
        <v>127</v>
      </c>
      <c r="K383" s="4" t="s">
        <v>150</v>
      </c>
    </row>
    <row r="384" spans="2:11">
      <c r="B384" s="1">
        <v>551</v>
      </c>
      <c r="C384" s="4" t="s">
        <v>405</v>
      </c>
      <c r="D384" s="19">
        <f t="shared" si="5"/>
        <v>0</v>
      </c>
      <c r="E384" s="19">
        <f>SUMIF('C1'!$B$6:$B$2228,B384,'C1'!$D$6:$D$2228)</f>
        <v>0</v>
      </c>
      <c r="F384" s="19">
        <f>SUMIF('C2'!$B$6:$B$2228,B384,'C2'!$D$6:$D$2228)</f>
        <v>0</v>
      </c>
      <c r="G384" s="19">
        <f>SUMIF('C3'!$B$6:$B$2228,B384,'C3'!$D$6:$D$2228)</f>
        <v>0</v>
      </c>
      <c r="H384" s="22"/>
      <c r="I384" s="22"/>
      <c r="J384" s="4" t="s">
        <v>127</v>
      </c>
      <c r="K384" s="4" t="s">
        <v>128</v>
      </c>
    </row>
    <row r="385" spans="2:11">
      <c r="B385" s="1">
        <v>552</v>
      </c>
      <c r="C385" s="4" t="s">
        <v>406</v>
      </c>
      <c r="D385" s="19">
        <f t="shared" si="5"/>
        <v>0</v>
      </c>
      <c r="E385" s="19">
        <f>SUMIF('C1'!$B$6:$B$2228,B385,'C1'!$D$6:$D$2228)</f>
        <v>0</v>
      </c>
      <c r="F385" s="19">
        <f>SUMIF('C2'!$B$6:$B$2228,B385,'C2'!$D$6:$D$2228)</f>
        <v>0</v>
      </c>
      <c r="G385" s="19">
        <f>SUMIF('C3'!$B$6:$B$2228,B385,'C3'!$D$6:$D$2228)</f>
        <v>0</v>
      </c>
      <c r="H385" s="22"/>
      <c r="I385" s="22"/>
      <c r="J385" s="4" t="s">
        <v>127</v>
      </c>
      <c r="K385" s="4" t="s">
        <v>128</v>
      </c>
    </row>
    <row r="386" spans="2:11">
      <c r="B386" s="1">
        <v>553</v>
      </c>
      <c r="C386" s="4" t="s">
        <v>407</v>
      </c>
      <c r="D386" s="19">
        <f t="shared" si="5"/>
        <v>0</v>
      </c>
      <c r="E386" s="19">
        <f>SUMIF('C1'!$B$6:$B$2228,B386,'C1'!$D$6:$D$2228)</f>
        <v>0</v>
      </c>
      <c r="F386" s="19">
        <f>SUMIF('C2'!$B$6:$B$2228,B386,'C2'!$D$6:$D$2228)</f>
        <v>0</v>
      </c>
      <c r="G386" s="19">
        <f>SUMIF('C3'!$B$6:$B$2228,B386,'C3'!$D$6:$D$2228)</f>
        <v>0</v>
      </c>
      <c r="H386" s="22"/>
      <c r="I386" s="22"/>
      <c r="J386" s="4" t="s">
        <v>127</v>
      </c>
      <c r="K386" s="4" t="s">
        <v>128</v>
      </c>
    </row>
    <row r="387" spans="2:11">
      <c r="B387" s="1">
        <v>554</v>
      </c>
      <c r="C387" s="4" t="s">
        <v>408</v>
      </c>
      <c r="D387" s="19">
        <f t="shared" si="5"/>
        <v>0</v>
      </c>
      <c r="E387" s="19">
        <f>SUMIF('C1'!$B$6:$B$2228,B387,'C1'!$D$6:$D$2228)</f>
        <v>0</v>
      </c>
      <c r="F387" s="19">
        <f>SUMIF('C2'!$B$6:$B$2228,B387,'C2'!$D$6:$D$2228)</f>
        <v>0</v>
      </c>
      <c r="G387" s="19">
        <f>SUMIF('C3'!$B$6:$B$2228,B387,'C3'!$D$6:$D$2228)</f>
        <v>0</v>
      </c>
      <c r="H387" s="22"/>
      <c r="I387" s="22"/>
      <c r="J387" s="4" t="s">
        <v>127</v>
      </c>
      <c r="K387" s="4" t="s">
        <v>128</v>
      </c>
    </row>
    <row r="388" spans="2:11">
      <c r="B388" s="1">
        <v>555</v>
      </c>
      <c r="C388" s="4" t="s">
        <v>409</v>
      </c>
      <c r="D388" s="19">
        <f t="shared" si="5"/>
        <v>0</v>
      </c>
      <c r="E388" s="19">
        <f>SUMIF('C1'!$B$6:$B$2228,B388,'C1'!$D$6:$D$2228)</f>
        <v>0</v>
      </c>
      <c r="F388" s="19">
        <f>SUMIF('C2'!$B$6:$B$2228,B388,'C2'!$D$6:$D$2228)</f>
        <v>0</v>
      </c>
      <c r="G388" s="19">
        <f>SUMIF('C3'!$B$6:$B$2228,B388,'C3'!$D$6:$D$2228)</f>
        <v>0</v>
      </c>
      <c r="H388" s="22"/>
      <c r="I388" s="22"/>
      <c r="J388" s="4" t="s">
        <v>127</v>
      </c>
      <c r="K388" s="4" t="s">
        <v>128</v>
      </c>
    </row>
    <row r="389" spans="2:11">
      <c r="B389" s="1">
        <v>556</v>
      </c>
      <c r="C389" s="4" t="s">
        <v>410</v>
      </c>
      <c r="D389" s="19">
        <f t="shared" si="5"/>
        <v>0</v>
      </c>
      <c r="E389" s="19">
        <f>SUMIF('C1'!$B$6:$B$2228,B389,'C1'!$D$6:$D$2228)</f>
        <v>0</v>
      </c>
      <c r="F389" s="19">
        <f>SUMIF('C2'!$B$6:$B$2228,B389,'C2'!$D$6:$D$2228)</f>
        <v>0</v>
      </c>
      <c r="G389" s="19">
        <f>SUMIF('C3'!$B$6:$B$2228,B389,'C3'!$D$6:$D$2228)</f>
        <v>0</v>
      </c>
      <c r="H389" s="22"/>
      <c r="I389" s="22"/>
      <c r="J389" s="4" t="s">
        <v>127</v>
      </c>
      <c r="K389" s="4" t="s">
        <v>128</v>
      </c>
    </row>
    <row r="390" spans="2:11">
      <c r="B390" s="1">
        <v>557</v>
      </c>
      <c r="C390" s="4" t="s">
        <v>411</v>
      </c>
      <c r="D390" s="19">
        <f t="shared" si="5"/>
        <v>0</v>
      </c>
      <c r="E390" s="19">
        <f>SUMIF('C1'!$B$6:$B$2228,B390,'C1'!$D$6:$D$2228)</f>
        <v>0</v>
      </c>
      <c r="F390" s="19">
        <f>SUMIF('C2'!$B$6:$B$2228,B390,'C2'!$D$6:$D$2228)</f>
        <v>0</v>
      </c>
      <c r="G390" s="19">
        <f>SUMIF('C3'!$B$6:$B$2228,B390,'C3'!$D$6:$D$2228)</f>
        <v>0</v>
      </c>
      <c r="H390" s="22"/>
      <c r="I390" s="22"/>
      <c r="J390" s="4" t="s">
        <v>127</v>
      </c>
      <c r="K390" s="4" t="s">
        <v>150</v>
      </c>
    </row>
    <row r="391" spans="2:11">
      <c r="B391" s="1">
        <v>558</v>
      </c>
      <c r="C391" s="4" t="s">
        <v>412</v>
      </c>
      <c r="D391" s="19">
        <f t="shared" ref="D391:D454" si="6">SUM(E391:I391)</f>
        <v>669</v>
      </c>
      <c r="E391" s="19">
        <f>SUMIF('C1'!$B$6:$B$2228,B391,'C1'!$D$6:$D$2228)</f>
        <v>0</v>
      </c>
      <c r="F391" s="19">
        <f>SUMIF('C2'!$B$6:$B$2228,B391,'C2'!$D$6:$D$2228)</f>
        <v>0</v>
      </c>
      <c r="G391" s="19">
        <f>SUMIF('C3'!$B$6:$B$2228,B391,'C3'!$D$6:$D$2228)</f>
        <v>669</v>
      </c>
      <c r="H391" s="22"/>
      <c r="I391" s="22"/>
      <c r="J391" s="4" t="s">
        <v>127</v>
      </c>
      <c r="K391" s="4" t="s">
        <v>128</v>
      </c>
    </row>
    <row r="392" spans="2:11">
      <c r="B392" s="1">
        <v>559</v>
      </c>
      <c r="C392" s="4" t="s">
        <v>413</v>
      </c>
      <c r="D392" s="19">
        <f t="shared" si="6"/>
        <v>0</v>
      </c>
      <c r="E392" s="19">
        <f>SUMIF('C1'!$B$6:$B$2228,B392,'C1'!$D$6:$D$2228)</f>
        <v>0</v>
      </c>
      <c r="F392" s="19">
        <f>SUMIF('C2'!$B$6:$B$2228,B392,'C2'!$D$6:$D$2228)</f>
        <v>0</v>
      </c>
      <c r="G392" s="19">
        <f>SUMIF('C3'!$B$6:$B$2228,B392,'C3'!$D$6:$D$2228)</f>
        <v>0</v>
      </c>
      <c r="H392" s="22"/>
      <c r="I392" s="22"/>
      <c r="J392" s="4" t="s">
        <v>127</v>
      </c>
      <c r="K392" s="4" t="s">
        <v>128</v>
      </c>
    </row>
    <row r="393" spans="2:11">
      <c r="B393" s="1">
        <v>560</v>
      </c>
      <c r="C393" s="4" t="s">
        <v>414</v>
      </c>
      <c r="D393" s="19">
        <f t="shared" si="6"/>
        <v>0</v>
      </c>
      <c r="E393" s="19">
        <f>SUMIF('C1'!$B$6:$B$2228,B393,'C1'!$D$6:$D$2228)</f>
        <v>0</v>
      </c>
      <c r="F393" s="19">
        <f>SUMIF('C2'!$B$6:$B$2228,B393,'C2'!$D$6:$D$2228)</f>
        <v>0</v>
      </c>
      <c r="G393" s="19">
        <f>SUMIF('C3'!$B$6:$B$2228,B393,'C3'!$D$6:$D$2228)</f>
        <v>0</v>
      </c>
      <c r="H393" s="22"/>
      <c r="I393" s="22"/>
      <c r="J393" s="4" t="s">
        <v>51</v>
      </c>
      <c r="K393" s="4" t="s">
        <v>97</v>
      </c>
    </row>
    <row r="394" spans="2:11">
      <c r="B394" s="1">
        <v>561</v>
      </c>
      <c r="C394" s="4" t="s">
        <v>415</v>
      </c>
      <c r="D394" s="19">
        <f t="shared" si="6"/>
        <v>0</v>
      </c>
      <c r="E394" s="19">
        <f>SUMIF('C1'!$B$6:$B$2228,B394,'C1'!$D$6:$D$2228)</f>
        <v>0</v>
      </c>
      <c r="F394" s="19">
        <f>SUMIF('C2'!$B$6:$B$2228,B394,'C2'!$D$6:$D$2228)</f>
        <v>0</v>
      </c>
      <c r="G394" s="19">
        <f>SUMIF('C3'!$B$6:$B$2228,B394,'C3'!$D$6:$D$2228)</f>
        <v>0</v>
      </c>
      <c r="H394" s="22"/>
      <c r="I394" s="22"/>
      <c r="J394" s="4" t="s">
        <v>12</v>
      </c>
      <c r="K394" s="4" t="s">
        <v>416</v>
      </c>
    </row>
    <row r="395" spans="2:11">
      <c r="B395" s="1">
        <v>562</v>
      </c>
      <c r="C395" s="4" t="s">
        <v>417</v>
      </c>
      <c r="D395" s="19">
        <f t="shared" si="6"/>
        <v>0</v>
      </c>
      <c r="E395" s="19">
        <f>SUMIF('C1'!$B$6:$B$2228,B395,'C1'!$D$6:$D$2228)</f>
        <v>0</v>
      </c>
      <c r="F395" s="19">
        <f>SUMIF('C2'!$B$6:$B$2228,B395,'C2'!$D$6:$D$2228)</f>
        <v>0</v>
      </c>
      <c r="G395" s="19">
        <f>SUMIF('C3'!$B$6:$B$2228,B395,'C3'!$D$6:$D$2228)</f>
        <v>0</v>
      </c>
      <c r="H395" s="22"/>
      <c r="I395" s="22"/>
      <c r="J395" s="4" t="s">
        <v>127</v>
      </c>
      <c r="K395" s="4" t="s">
        <v>128</v>
      </c>
    </row>
    <row r="396" spans="2:11">
      <c r="B396" s="1">
        <v>564</v>
      </c>
      <c r="C396" s="4" t="s">
        <v>418</v>
      </c>
      <c r="D396" s="19">
        <f t="shared" si="6"/>
        <v>0</v>
      </c>
      <c r="E396" s="19">
        <f>SUMIF('C1'!$B$6:$B$2228,B396,'C1'!$D$6:$D$2228)</f>
        <v>0</v>
      </c>
      <c r="F396" s="19">
        <f>SUMIF('C2'!$B$6:$B$2228,B396,'C2'!$D$6:$D$2228)</f>
        <v>0</v>
      </c>
      <c r="G396" s="19">
        <f>SUMIF('C3'!$B$6:$B$2228,B396,'C3'!$D$6:$D$2228)</f>
        <v>0</v>
      </c>
      <c r="H396" s="22"/>
      <c r="I396" s="22"/>
      <c r="J396" s="4" t="s">
        <v>51</v>
      </c>
      <c r="K396" s="4" t="s">
        <v>379</v>
      </c>
    </row>
    <row r="397" spans="2:11">
      <c r="B397" s="1">
        <v>565</v>
      </c>
      <c r="C397" s="4" t="s">
        <v>419</v>
      </c>
      <c r="D397" s="19">
        <f t="shared" si="6"/>
        <v>0</v>
      </c>
      <c r="E397" s="19">
        <f>SUMIF('C1'!$B$6:$B$2228,B397,'C1'!$D$6:$D$2228)</f>
        <v>0</v>
      </c>
      <c r="F397" s="19">
        <f>SUMIF('C2'!$B$6:$B$2228,B397,'C2'!$D$6:$D$2228)</f>
        <v>0</v>
      </c>
      <c r="G397" s="19">
        <f>SUMIF('C3'!$B$6:$B$2228,B397,'C3'!$D$6:$D$2228)</f>
        <v>0</v>
      </c>
      <c r="H397" s="22"/>
      <c r="I397" s="22"/>
      <c r="J397" s="4" t="s">
        <v>127</v>
      </c>
      <c r="K397" s="4" t="s">
        <v>150</v>
      </c>
    </row>
    <row r="398" spans="2:11">
      <c r="B398" s="1">
        <v>567</v>
      </c>
      <c r="C398" s="4" t="s">
        <v>420</v>
      </c>
      <c r="D398" s="19">
        <f t="shared" si="6"/>
        <v>0</v>
      </c>
      <c r="E398" s="19">
        <f>SUMIF('C1'!$B$6:$B$2228,B398,'C1'!$D$6:$D$2228)</f>
        <v>0</v>
      </c>
      <c r="F398" s="19">
        <f>SUMIF('C2'!$B$6:$B$2228,B398,'C2'!$D$6:$D$2228)</f>
        <v>0</v>
      </c>
      <c r="G398" s="19">
        <f>SUMIF('C3'!$B$6:$B$2228,B398,'C3'!$D$6:$D$2228)</f>
        <v>0</v>
      </c>
      <c r="H398" s="22"/>
      <c r="I398" s="22"/>
      <c r="J398" s="4" t="s">
        <v>12</v>
      </c>
      <c r="K398" s="4" t="s">
        <v>88</v>
      </c>
    </row>
    <row r="399" spans="2:11">
      <c r="B399" s="1">
        <v>568</v>
      </c>
      <c r="C399" s="4" t="s">
        <v>421</v>
      </c>
      <c r="D399" s="19">
        <f t="shared" si="6"/>
        <v>0</v>
      </c>
      <c r="E399" s="19">
        <f>SUMIF('C1'!$B$6:$B$2228,B399,'C1'!$D$6:$D$2228)</f>
        <v>0</v>
      </c>
      <c r="F399" s="19">
        <f>SUMIF('C2'!$B$6:$B$2228,B399,'C2'!$D$6:$D$2228)</f>
        <v>0</v>
      </c>
      <c r="G399" s="19">
        <f>SUMIF('C3'!$B$6:$B$2228,B399,'C3'!$D$6:$D$2228)</f>
        <v>0</v>
      </c>
      <c r="H399" s="22"/>
      <c r="I399" s="22"/>
      <c r="J399" s="4" t="s">
        <v>12</v>
      </c>
      <c r="K399" s="4" t="s">
        <v>88</v>
      </c>
    </row>
    <row r="400" spans="2:11">
      <c r="B400" s="1">
        <v>569</v>
      </c>
      <c r="C400" s="4" t="s">
        <v>422</v>
      </c>
      <c r="D400" s="19">
        <f t="shared" si="6"/>
        <v>0</v>
      </c>
      <c r="E400" s="19">
        <f>SUMIF('C1'!$B$6:$B$2228,B400,'C1'!$D$6:$D$2228)</f>
        <v>0</v>
      </c>
      <c r="F400" s="19">
        <f>SUMIF('C2'!$B$6:$B$2228,B400,'C2'!$D$6:$D$2228)</f>
        <v>0</v>
      </c>
      <c r="G400" s="19">
        <f>SUMIF('C3'!$B$6:$B$2228,B400,'C3'!$D$6:$D$2228)</f>
        <v>0</v>
      </c>
      <c r="H400" s="22"/>
      <c r="I400" s="22"/>
      <c r="J400" s="4" t="s">
        <v>127</v>
      </c>
      <c r="K400" s="4" t="s">
        <v>128</v>
      </c>
    </row>
    <row r="401" spans="2:11">
      <c r="B401" s="1">
        <v>570</v>
      </c>
      <c r="C401" s="4" t="s">
        <v>423</v>
      </c>
      <c r="D401" s="19">
        <f t="shared" si="6"/>
        <v>0</v>
      </c>
      <c r="E401" s="19">
        <f>SUMIF('C1'!$B$6:$B$2228,B401,'C1'!$D$6:$D$2228)</f>
        <v>0</v>
      </c>
      <c r="F401" s="19">
        <f>SUMIF('C2'!$B$6:$B$2228,B401,'C2'!$D$6:$D$2228)</f>
        <v>0</v>
      </c>
      <c r="G401" s="19">
        <f>SUMIF('C3'!$B$6:$B$2228,B401,'C3'!$D$6:$D$2228)</f>
        <v>0</v>
      </c>
      <c r="H401" s="22"/>
      <c r="I401" s="22"/>
      <c r="J401" s="4" t="s">
        <v>127</v>
      </c>
      <c r="K401" s="4" t="s">
        <v>128</v>
      </c>
    </row>
    <row r="402" spans="2:11">
      <c r="B402" s="1">
        <v>571</v>
      </c>
      <c r="C402" s="4" t="s">
        <v>424</v>
      </c>
      <c r="D402" s="19">
        <f t="shared" si="6"/>
        <v>0</v>
      </c>
      <c r="E402" s="19">
        <f>SUMIF('C1'!$B$6:$B$2228,B402,'C1'!$D$6:$D$2228)</f>
        <v>0</v>
      </c>
      <c r="F402" s="19">
        <f>SUMIF('C2'!$B$6:$B$2228,B402,'C2'!$D$6:$D$2228)</f>
        <v>0</v>
      </c>
      <c r="G402" s="19">
        <f>SUMIF('C3'!$B$6:$B$2228,B402,'C3'!$D$6:$D$2228)</f>
        <v>0</v>
      </c>
      <c r="H402" s="22"/>
      <c r="I402" s="22"/>
      <c r="J402" s="4" t="s">
        <v>127</v>
      </c>
      <c r="K402" s="4" t="s">
        <v>128</v>
      </c>
    </row>
    <row r="403" spans="2:11">
      <c r="B403" s="1">
        <v>572</v>
      </c>
      <c r="C403" s="4" t="s">
        <v>425</v>
      </c>
      <c r="D403" s="19">
        <f t="shared" si="6"/>
        <v>0</v>
      </c>
      <c r="E403" s="19">
        <f>SUMIF('C1'!$B$6:$B$2228,B403,'C1'!$D$6:$D$2228)</f>
        <v>0</v>
      </c>
      <c r="F403" s="19">
        <f>SUMIF('C2'!$B$6:$B$2228,B403,'C2'!$D$6:$D$2228)</f>
        <v>0</v>
      </c>
      <c r="G403" s="19">
        <f>SUMIF('C3'!$B$6:$B$2228,B403,'C3'!$D$6:$D$2228)</f>
        <v>0</v>
      </c>
      <c r="H403" s="22"/>
      <c r="I403" s="22"/>
      <c r="J403" s="4" t="s">
        <v>127</v>
      </c>
      <c r="K403" s="4" t="s">
        <v>128</v>
      </c>
    </row>
    <row r="404" spans="2:11">
      <c r="B404" s="1">
        <v>573</v>
      </c>
      <c r="C404" s="4" t="s">
        <v>426</v>
      </c>
      <c r="D404" s="19">
        <f t="shared" si="6"/>
        <v>0</v>
      </c>
      <c r="E404" s="19">
        <f>SUMIF('C1'!$B$6:$B$2228,B404,'C1'!$D$6:$D$2228)</f>
        <v>0</v>
      </c>
      <c r="F404" s="19">
        <f>SUMIF('C2'!$B$6:$B$2228,B404,'C2'!$D$6:$D$2228)</f>
        <v>0</v>
      </c>
      <c r="G404" s="19">
        <f>SUMIF('C3'!$B$6:$B$2228,B404,'C3'!$D$6:$D$2228)</f>
        <v>0</v>
      </c>
      <c r="H404" s="22"/>
      <c r="I404" s="22"/>
      <c r="J404" s="4" t="s">
        <v>12</v>
      </c>
      <c r="K404" s="4" t="s">
        <v>416</v>
      </c>
    </row>
    <row r="405" spans="2:11">
      <c r="B405" s="1">
        <v>574</v>
      </c>
      <c r="C405" s="4" t="s">
        <v>426</v>
      </c>
      <c r="D405" s="19">
        <f t="shared" si="6"/>
        <v>0</v>
      </c>
      <c r="E405" s="19">
        <f>SUMIF('C1'!$B$6:$B$2228,B405,'C1'!$D$6:$D$2228)</f>
        <v>0</v>
      </c>
      <c r="F405" s="19">
        <f>SUMIF('C2'!$B$6:$B$2228,B405,'C2'!$D$6:$D$2228)</f>
        <v>0</v>
      </c>
      <c r="G405" s="19">
        <f>SUMIF('C3'!$B$6:$B$2228,B405,'C3'!$D$6:$D$2228)</f>
        <v>0</v>
      </c>
      <c r="H405" s="22"/>
      <c r="I405" s="22"/>
      <c r="J405" s="4" t="s">
        <v>12</v>
      </c>
      <c r="K405" s="4" t="s">
        <v>416</v>
      </c>
    </row>
    <row r="406" spans="2:11">
      <c r="B406" s="1">
        <v>575</v>
      </c>
      <c r="C406" s="4" t="s">
        <v>427</v>
      </c>
      <c r="D406" s="19">
        <f t="shared" si="6"/>
        <v>0</v>
      </c>
      <c r="E406" s="19">
        <f>SUMIF('C1'!$B$6:$B$2228,B406,'C1'!$D$6:$D$2228)</f>
        <v>0</v>
      </c>
      <c r="F406" s="19">
        <f>SUMIF('C2'!$B$6:$B$2228,B406,'C2'!$D$6:$D$2228)</f>
        <v>0</v>
      </c>
      <c r="G406" s="19">
        <f>SUMIF('C3'!$B$6:$B$2228,B406,'C3'!$D$6:$D$2228)</f>
        <v>0</v>
      </c>
      <c r="H406" s="22"/>
      <c r="I406" s="22"/>
      <c r="J406" s="4" t="s">
        <v>51</v>
      </c>
      <c r="K406" s="4" t="s">
        <v>379</v>
      </c>
    </row>
    <row r="407" spans="2:11">
      <c r="B407" s="1">
        <v>576</v>
      </c>
      <c r="C407" s="4" t="s">
        <v>428</v>
      </c>
      <c r="D407" s="19">
        <f t="shared" si="6"/>
        <v>0</v>
      </c>
      <c r="E407" s="19">
        <f>SUMIF('C1'!$B$6:$B$2228,B407,'C1'!$D$6:$D$2228)</f>
        <v>0</v>
      </c>
      <c r="F407" s="19">
        <f>SUMIF('C2'!$B$6:$B$2228,B407,'C2'!$D$6:$D$2228)</f>
        <v>0</v>
      </c>
      <c r="G407" s="19">
        <f>SUMIF('C3'!$B$6:$B$2228,B407,'C3'!$D$6:$D$2228)</f>
        <v>0</v>
      </c>
      <c r="H407" s="22"/>
      <c r="I407" s="22"/>
      <c r="J407" s="4" t="s">
        <v>127</v>
      </c>
      <c r="K407" s="4" t="s">
        <v>148</v>
      </c>
    </row>
    <row r="408" spans="2:11">
      <c r="B408" s="1">
        <v>578</v>
      </c>
      <c r="C408" s="4" t="s">
        <v>429</v>
      </c>
      <c r="D408" s="19">
        <f t="shared" si="6"/>
        <v>0</v>
      </c>
      <c r="E408" s="19">
        <f>SUMIF('C1'!$B$6:$B$2228,B408,'C1'!$D$6:$D$2228)</f>
        <v>0</v>
      </c>
      <c r="F408" s="19">
        <f>SUMIF('C2'!$B$6:$B$2228,B408,'C2'!$D$6:$D$2228)</f>
        <v>0</v>
      </c>
      <c r="G408" s="19">
        <f>SUMIF('C3'!$B$6:$B$2228,B408,'C3'!$D$6:$D$2228)</f>
        <v>0</v>
      </c>
      <c r="H408" s="22"/>
      <c r="I408" s="22"/>
      <c r="J408" s="4" t="s">
        <v>51</v>
      </c>
      <c r="K408" s="4" t="s">
        <v>97</v>
      </c>
    </row>
    <row r="409" spans="2:11">
      <c r="B409" s="1">
        <v>579</v>
      </c>
      <c r="C409" s="4" t="s">
        <v>430</v>
      </c>
      <c r="D409" s="19">
        <f t="shared" si="6"/>
        <v>0</v>
      </c>
      <c r="E409" s="19">
        <f>SUMIF('C1'!$B$6:$B$2228,B409,'C1'!$D$6:$D$2228)</f>
        <v>0</v>
      </c>
      <c r="F409" s="19">
        <f>SUMIF('C2'!$B$6:$B$2228,B409,'C2'!$D$6:$D$2228)</f>
        <v>0</v>
      </c>
      <c r="G409" s="19">
        <f>SUMIF('C3'!$B$6:$B$2228,B409,'C3'!$D$6:$D$2228)</f>
        <v>0</v>
      </c>
      <c r="H409" s="22"/>
      <c r="I409" s="22"/>
      <c r="J409" s="4" t="s">
        <v>12</v>
      </c>
      <c r="K409" s="4" t="s">
        <v>88</v>
      </c>
    </row>
    <row r="410" spans="2:11">
      <c r="B410" s="1">
        <v>580</v>
      </c>
      <c r="C410" s="4" t="s">
        <v>431</v>
      </c>
      <c r="D410" s="19">
        <f t="shared" si="6"/>
        <v>0</v>
      </c>
      <c r="E410" s="19">
        <f>SUMIF('C1'!$B$6:$B$2228,B410,'C1'!$D$6:$D$2228)</f>
        <v>0</v>
      </c>
      <c r="F410" s="19">
        <f>SUMIF('C2'!$B$6:$B$2228,B410,'C2'!$D$6:$D$2228)</f>
        <v>0</v>
      </c>
      <c r="G410" s="19">
        <f>SUMIF('C3'!$B$6:$B$2228,B410,'C3'!$D$6:$D$2228)</f>
        <v>0</v>
      </c>
      <c r="H410" s="22"/>
      <c r="I410" s="22"/>
      <c r="J410" s="4" t="s">
        <v>12</v>
      </c>
      <c r="K410" s="4" t="s">
        <v>88</v>
      </c>
    </row>
    <row r="411" spans="2:11">
      <c r="B411" s="1">
        <v>581</v>
      </c>
      <c r="C411" s="4" t="s">
        <v>432</v>
      </c>
      <c r="D411" s="19">
        <f t="shared" si="6"/>
        <v>0</v>
      </c>
      <c r="E411" s="19">
        <f>SUMIF('C1'!$B$6:$B$2228,B411,'C1'!$D$6:$D$2228)</f>
        <v>0</v>
      </c>
      <c r="F411" s="19">
        <f>SUMIF('C2'!$B$6:$B$2228,B411,'C2'!$D$6:$D$2228)</f>
        <v>0</v>
      </c>
      <c r="G411" s="19">
        <f>SUMIF('C3'!$B$6:$B$2228,B411,'C3'!$D$6:$D$2228)</f>
        <v>0</v>
      </c>
      <c r="H411" s="22"/>
      <c r="I411" s="22"/>
      <c r="J411" s="4" t="s">
        <v>12</v>
      </c>
      <c r="K411" s="4" t="s">
        <v>88</v>
      </c>
    </row>
    <row r="412" spans="2:11">
      <c r="B412" s="1">
        <v>582</v>
      </c>
      <c r="C412" s="4" t="s">
        <v>433</v>
      </c>
      <c r="D412" s="19">
        <f t="shared" si="6"/>
        <v>0</v>
      </c>
      <c r="E412" s="19">
        <f>SUMIF('C1'!$B$6:$B$2228,B412,'C1'!$D$6:$D$2228)</f>
        <v>0</v>
      </c>
      <c r="F412" s="19">
        <f>SUMIF('C2'!$B$6:$B$2228,B412,'C2'!$D$6:$D$2228)</f>
        <v>0</v>
      </c>
      <c r="G412" s="19">
        <f>SUMIF('C3'!$B$6:$B$2228,B412,'C3'!$D$6:$D$2228)</f>
        <v>0</v>
      </c>
      <c r="H412" s="22"/>
      <c r="I412" s="22"/>
      <c r="J412" s="4" t="s">
        <v>51</v>
      </c>
      <c r="K412" s="4" t="s">
        <v>52</v>
      </c>
    </row>
    <row r="413" spans="2:11">
      <c r="B413" s="1">
        <v>583</v>
      </c>
      <c r="C413" s="4" t="s">
        <v>434</v>
      </c>
      <c r="D413" s="19">
        <f t="shared" si="6"/>
        <v>0</v>
      </c>
      <c r="E413" s="19">
        <f>SUMIF('C1'!$B$6:$B$2228,B413,'C1'!$D$6:$D$2228)</f>
        <v>0</v>
      </c>
      <c r="F413" s="19">
        <f>SUMIF('C2'!$B$6:$B$2228,B413,'C2'!$D$6:$D$2228)</f>
        <v>0</v>
      </c>
      <c r="G413" s="19">
        <f>SUMIF('C3'!$B$6:$B$2228,B413,'C3'!$D$6:$D$2228)</f>
        <v>0</v>
      </c>
      <c r="H413" s="22"/>
      <c r="I413" s="22"/>
      <c r="J413" s="4" t="s">
        <v>51</v>
      </c>
      <c r="K413" s="4" t="s">
        <v>52</v>
      </c>
    </row>
    <row r="414" spans="2:11">
      <c r="B414" s="1">
        <v>584</v>
      </c>
      <c r="C414" s="4" t="s">
        <v>435</v>
      </c>
      <c r="D414" s="19">
        <f t="shared" si="6"/>
        <v>0</v>
      </c>
      <c r="E414" s="19">
        <f>SUMIF('C1'!$B$6:$B$2228,B414,'C1'!$D$6:$D$2228)</f>
        <v>0</v>
      </c>
      <c r="F414" s="19">
        <f>SUMIF('C2'!$B$6:$B$2228,B414,'C2'!$D$6:$D$2228)</f>
        <v>0</v>
      </c>
      <c r="G414" s="19">
        <f>SUMIF('C3'!$B$6:$B$2228,B414,'C3'!$D$6:$D$2228)</f>
        <v>0</v>
      </c>
      <c r="H414" s="22"/>
      <c r="I414" s="22"/>
      <c r="J414" s="4" t="s">
        <v>51</v>
      </c>
      <c r="K414" s="4" t="s">
        <v>52</v>
      </c>
    </row>
    <row r="415" spans="2:11">
      <c r="B415" s="1">
        <v>585</v>
      </c>
      <c r="C415" s="4" t="s">
        <v>436</v>
      </c>
      <c r="D415" s="19">
        <f t="shared" si="6"/>
        <v>0</v>
      </c>
      <c r="E415" s="19">
        <f>SUMIF('C1'!$B$6:$B$2228,B415,'C1'!$D$6:$D$2228)</f>
        <v>0</v>
      </c>
      <c r="F415" s="19">
        <f>SUMIF('C2'!$B$6:$B$2228,B415,'C2'!$D$6:$D$2228)</f>
        <v>0</v>
      </c>
      <c r="G415" s="19">
        <f>SUMIF('C3'!$B$6:$B$2228,B415,'C3'!$D$6:$D$2228)</f>
        <v>0</v>
      </c>
      <c r="H415" s="22"/>
      <c r="I415" s="22"/>
      <c r="J415" s="4" t="s">
        <v>51</v>
      </c>
      <c r="K415" s="4" t="s">
        <v>52</v>
      </c>
    </row>
    <row r="416" spans="2:11">
      <c r="B416" s="1">
        <v>586</v>
      </c>
      <c r="C416" s="4" t="s">
        <v>437</v>
      </c>
      <c r="D416" s="19">
        <f t="shared" si="6"/>
        <v>0</v>
      </c>
      <c r="E416" s="19">
        <f>SUMIF('C1'!$B$6:$B$2228,B416,'C1'!$D$6:$D$2228)</f>
        <v>0</v>
      </c>
      <c r="F416" s="19">
        <f>SUMIF('C2'!$B$6:$B$2228,B416,'C2'!$D$6:$D$2228)</f>
        <v>0</v>
      </c>
      <c r="G416" s="19">
        <f>SUMIF('C3'!$B$6:$B$2228,B416,'C3'!$D$6:$D$2228)</f>
        <v>0</v>
      </c>
      <c r="H416" s="22"/>
      <c r="I416" s="22"/>
      <c r="J416" s="4" t="s">
        <v>51</v>
      </c>
      <c r="K416" s="4" t="s">
        <v>52</v>
      </c>
    </row>
    <row r="417" spans="2:11">
      <c r="B417" s="1">
        <v>587</v>
      </c>
      <c r="C417" s="4" t="s">
        <v>438</v>
      </c>
      <c r="D417" s="19">
        <f t="shared" si="6"/>
        <v>0</v>
      </c>
      <c r="E417" s="19">
        <f>SUMIF('C1'!$B$6:$B$2228,B417,'C1'!$D$6:$D$2228)</f>
        <v>0</v>
      </c>
      <c r="F417" s="19">
        <f>SUMIF('C2'!$B$6:$B$2228,B417,'C2'!$D$6:$D$2228)</f>
        <v>0</v>
      </c>
      <c r="G417" s="19">
        <f>SUMIF('C3'!$B$6:$B$2228,B417,'C3'!$D$6:$D$2228)</f>
        <v>0</v>
      </c>
      <c r="H417" s="22"/>
      <c r="I417" s="22"/>
      <c r="J417" s="4" t="s">
        <v>51</v>
      </c>
      <c r="K417" s="4" t="s">
        <v>52</v>
      </c>
    </row>
    <row r="418" spans="2:11">
      <c r="B418" s="1">
        <v>588</v>
      </c>
      <c r="C418" s="4" t="s">
        <v>439</v>
      </c>
      <c r="D418" s="19">
        <f t="shared" si="6"/>
        <v>0</v>
      </c>
      <c r="E418" s="19">
        <f>SUMIF('C1'!$B$6:$B$2228,B418,'C1'!$D$6:$D$2228)</f>
        <v>0</v>
      </c>
      <c r="F418" s="19">
        <f>SUMIF('C2'!$B$6:$B$2228,B418,'C2'!$D$6:$D$2228)</f>
        <v>0</v>
      </c>
      <c r="G418" s="19">
        <f>SUMIF('C3'!$B$6:$B$2228,B418,'C3'!$D$6:$D$2228)</f>
        <v>0</v>
      </c>
      <c r="H418" s="22"/>
      <c r="I418" s="22"/>
      <c r="J418" s="4" t="s">
        <v>51</v>
      </c>
      <c r="K418" s="4" t="s">
        <v>52</v>
      </c>
    </row>
    <row r="419" spans="2:11">
      <c r="B419" s="1">
        <v>589</v>
      </c>
      <c r="C419" s="4" t="s">
        <v>440</v>
      </c>
      <c r="D419" s="19">
        <f t="shared" si="6"/>
        <v>0</v>
      </c>
      <c r="E419" s="19">
        <f>SUMIF('C1'!$B$6:$B$2228,B419,'C1'!$D$6:$D$2228)</f>
        <v>0</v>
      </c>
      <c r="F419" s="19">
        <f>SUMIF('C2'!$B$6:$B$2228,B419,'C2'!$D$6:$D$2228)</f>
        <v>0</v>
      </c>
      <c r="G419" s="19">
        <f>SUMIF('C3'!$B$6:$B$2228,B419,'C3'!$D$6:$D$2228)</f>
        <v>0</v>
      </c>
      <c r="H419" s="22"/>
      <c r="I419" s="22"/>
      <c r="J419" s="4" t="s">
        <v>12</v>
      </c>
      <c r="K419" s="4" t="s">
        <v>88</v>
      </c>
    </row>
    <row r="420" spans="2:11">
      <c r="B420" s="1">
        <v>590</v>
      </c>
      <c r="C420" s="4" t="s">
        <v>441</v>
      </c>
      <c r="D420" s="19">
        <f t="shared" si="6"/>
        <v>0</v>
      </c>
      <c r="E420" s="19">
        <f>SUMIF('C1'!$B$6:$B$2228,B420,'C1'!$D$6:$D$2228)</f>
        <v>0</v>
      </c>
      <c r="F420" s="19">
        <f>SUMIF('C2'!$B$6:$B$2228,B420,'C2'!$D$6:$D$2228)</f>
        <v>0</v>
      </c>
      <c r="G420" s="19">
        <f>SUMIF('C3'!$B$6:$B$2228,B420,'C3'!$D$6:$D$2228)</f>
        <v>0</v>
      </c>
      <c r="H420" s="22"/>
      <c r="I420" s="22"/>
      <c r="J420" s="4" t="s">
        <v>12</v>
      </c>
      <c r="K420" s="4" t="s">
        <v>88</v>
      </c>
    </row>
    <row r="421" spans="2:11">
      <c r="B421" s="1">
        <v>591</v>
      </c>
      <c r="C421" s="4" t="s">
        <v>442</v>
      </c>
      <c r="D421" s="19">
        <f t="shared" si="6"/>
        <v>0</v>
      </c>
      <c r="E421" s="19">
        <f>SUMIF('C1'!$B$6:$B$2228,B421,'C1'!$D$6:$D$2228)</f>
        <v>0</v>
      </c>
      <c r="F421" s="19">
        <f>SUMIF('C2'!$B$6:$B$2228,B421,'C2'!$D$6:$D$2228)</f>
        <v>0</v>
      </c>
      <c r="G421" s="19">
        <f>SUMIF('C3'!$B$6:$B$2228,B421,'C3'!$D$6:$D$2228)</f>
        <v>0</v>
      </c>
      <c r="H421" s="22"/>
      <c r="I421" s="22"/>
      <c r="J421" s="4" t="s">
        <v>12</v>
      </c>
      <c r="K421" s="4" t="s">
        <v>88</v>
      </c>
    </row>
    <row r="422" spans="2:11">
      <c r="B422" s="1">
        <v>592</v>
      </c>
      <c r="C422" s="4" t="s">
        <v>443</v>
      </c>
      <c r="D422" s="19">
        <f t="shared" si="6"/>
        <v>0</v>
      </c>
      <c r="E422" s="19">
        <f>SUMIF('C1'!$B$6:$B$2228,B422,'C1'!$D$6:$D$2228)</f>
        <v>0</v>
      </c>
      <c r="F422" s="19">
        <f>SUMIF('C2'!$B$6:$B$2228,B422,'C2'!$D$6:$D$2228)</f>
        <v>0</v>
      </c>
      <c r="G422" s="19">
        <f>SUMIF('C3'!$B$6:$B$2228,B422,'C3'!$D$6:$D$2228)</f>
        <v>0</v>
      </c>
      <c r="H422" s="22"/>
      <c r="I422" s="22"/>
      <c r="J422" s="4" t="s">
        <v>12</v>
      </c>
      <c r="K422" s="4" t="s">
        <v>88</v>
      </c>
    </row>
    <row r="423" spans="2:11">
      <c r="B423" s="1">
        <v>593</v>
      </c>
      <c r="C423" s="4" t="s">
        <v>444</v>
      </c>
      <c r="D423" s="19">
        <f t="shared" si="6"/>
        <v>0</v>
      </c>
      <c r="E423" s="19">
        <f>SUMIF('C1'!$B$6:$B$2228,B423,'C1'!$D$6:$D$2228)</f>
        <v>0</v>
      </c>
      <c r="F423" s="19">
        <f>SUMIF('C2'!$B$6:$B$2228,B423,'C2'!$D$6:$D$2228)</f>
        <v>0</v>
      </c>
      <c r="G423" s="19">
        <f>SUMIF('C3'!$B$6:$B$2228,B423,'C3'!$D$6:$D$2228)</f>
        <v>0</v>
      </c>
      <c r="H423" s="22"/>
      <c r="I423" s="22"/>
      <c r="J423" s="4" t="s">
        <v>12</v>
      </c>
      <c r="K423" s="4" t="s">
        <v>88</v>
      </c>
    </row>
    <row r="424" spans="2:11">
      <c r="B424" s="1">
        <v>594</v>
      </c>
      <c r="C424" s="4" t="s">
        <v>445</v>
      </c>
      <c r="D424" s="19">
        <f t="shared" si="6"/>
        <v>0</v>
      </c>
      <c r="E424" s="19">
        <f>SUMIF('C1'!$B$6:$B$2228,B424,'C1'!$D$6:$D$2228)</f>
        <v>0</v>
      </c>
      <c r="F424" s="19">
        <f>SUMIF('C2'!$B$6:$B$2228,B424,'C2'!$D$6:$D$2228)</f>
        <v>0</v>
      </c>
      <c r="G424" s="19">
        <f>SUMIF('C3'!$B$6:$B$2228,B424,'C3'!$D$6:$D$2228)</f>
        <v>0</v>
      </c>
      <c r="H424" s="22"/>
      <c r="I424" s="22"/>
      <c r="J424" s="4" t="s">
        <v>12</v>
      </c>
      <c r="K424" s="4" t="s">
        <v>88</v>
      </c>
    </row>
    <row r="425" spans="2:11">
      <c r="B425" s="1">
        <v>595</v>
      </c>
      <c r="C425" s="4" t="s">
        <v>446</v>
      </c>
      <c r="D425" s="19">
        <f t="shared" si="6"/>
        <v>0</v>
      </c>
      <c r="E425" s="19">
        <f>SUMIF('C1'!$B$6:$B$2228,B425,'C1'!$D$6:$D$2228)</f>
        <v>0</v>
      </c>
      <c r="F425" s="19">
        <f>SUMIF('C2'!$B$6:$B$2228,B425,'C2'!$D$6:$D$2228)</f>
        <v>0</v>
      </c>
      <c r="G425" s="19">
        <f>SUMIF('C3'!$B$6:$B$2228,B425,'C3'!$D$6:$D$2228)</f>
        <v>0</v>
      </c>
      <c r="H425" s="22"/>
      <c r="I425" s="22"/>
      <c r="J425" s="4" t="s">
        <v>12</v>
      </c>
      <c r="K425" s="4" t="s">
        <v>88</v>
      </c>
    </row>
    <row r="426" spans="2:11">
      <c r="B426" s="1">
        <v>596</v>
      </c>
      <c r="C426" s="4" t="s">
        <v>447</v>
      </c>
      <c r="D426" s="19">
        <f t="shared" si="6"/>
        <v>0</v>
      </c>
      <c r="E426" s="19">
        <f>SUMIF('C1'!$B$6:$B$2228,B426,'C1'!$D$6:$D$2228)</f>
        <v>0</v>
      </c>
      <c r="F426" s="19">
        <f>SUMIF('C2'!$B$6:$B$2228,B426,'C2'!$D$6:$D$2228)</f>
        <v>0</v>
      </c>
      <c r="G426" s="19">
        <f>SUMIF('C3'!$B$6:$B$2228,B426,'C3'!$D$6:$D$2228)</f>
        <v>0</v>
      </c>
      <c r="H426" s="22"/>
      <c r="I426" s="22"/>
      <c r="J426" s="4" t="s">
        <v>12</v>
      </c>
      <c r="K426" s="4" t="s">
        <v>88</v>
      </c>
    </row>
    <row r="427" spans="2:11">
      <c r="B427" s="1">
        <v>597</v>
      </c>
      <c r="C427" s="4" t="s">
        <v>448</v>
      </c>
      <c r="D427" s="19">
        <f t="shared" si="6"/>
        <v>0</v>
      </c>
      <c r="E427" s="19">
        <f>SUMIF('C1'!$B$6:$B$2228,B427,'C1'!$D$6:$D$2228)</f>
        <v>0</v>
      </c>
      <c r="F427" s="19">
        <f>SUMIF('C2'!$B$6:$B$2228,B427,'C2'!$D$6:$D$2228)</f>
        <v>0</v>
      </c>
      <c r="G427" s="19">
        <f>SUMIF('C3'!$B$6:$B$2228,B427,'C3'!$D$6:$D$2228)</f>
        <v>0</v>
      </c>
      <c r="H427" s="22"/>
      <c r="I427" s="22"/>
      <c r="J427" s="4" t="s">
        <v>12</v>
      </c>
      <c r="K427" s="4" t="s">
        <v>88</v>
      </c>
    </row>
    <row r="428" spans="2:11">
      <c r="B428" s="1">
        <v>598</v>
      </c>
      <c r="C428" s="4" t="s">
        <v>449</v>
      </c>
      <c r="D428" s="19">
        <f t="shared" si="6"/>
        <v>0</v>
      </c>
      <c r="E428" s="19">
        <f>SUMIF('C1'!$B$6:$B$2228,B428,'C1'!$D$6:$D$2228)</f>
        <v>0</v>
      </c>
      <c r="F428" s="19">
        <f>SUMIF('C2'!$B$6:$B$2228,B428,'C2'!$D$6:$D$2228)</f>
        <v>0</v>
      </c>
      <c r="G428" s="19">
        <f>SUMIF('C3'!$B$6:$B$2228,B428,'C3'!$D$6:$D$2228)</f>
        <v>0</v>
      </c>
      <c r="H428" s="22"/>
      <c r="I428" s="22"/>
      <c r="J428" s="4" t="s">
        <v>12</v>
      </c>
      <c r="K428" s="4" t="s">
        <v>88</v>
      </c>
    </row>
    <row r="429" spans="2:11">
      <c r="B429" s="1">
        <v>599</v>
      </c>
      <c r="C429" s="4" t="s">
        <v>450</v>
      </c>
      <c r="D429" s="19">
        <f t="shared" si="6"/>
        <v>0</v>
      </c>
      <c r="E429" s="19">
        <f>SUMIF('C1'!$B$6:$B$2228,B429,'C1'!$D$6:$D$2228)</f>
        <v>0</v>
      </c>
      <c r="F429" s="19">
        <f>SUMIF('C2'!$B$6:$B$2228,B429,'C2'!$D$6:$D$2228)</f>
        <v>0</v>
      </c>
      <c r="G429" s="19">
        <f>SUMIF('C3'!$B$6:$B$2228,B429,'C3'!$D$6:$D$2228)</f>
        <v>0</v>
      </c>
      <c r="H429" s="22"/>
      <c r="I429" s="22"/>
      <c r="J429" s="4" t="s">
        <v>451</v>
      </c>
      <c r="K429" s="4" t="s">
        <v>452</v>
      </c>
    </row>
    <row r="430" spans="2:11">
      <c r="B430" s="1">
        <v>600</v>
      </c>
      <c r="C430" s="4" t="s">
        <v>453</v>
      </c>
      <c r="D430" s="19">
        <f t="shared" si="6"/>
        <v>0</v>
      </c>
      <c r="E430" s="19">
        <f>SUMIF('C1'!$B$6:$B$2228,B430,'C1'!$D$6:$D$2228)</f>
        <v>0</v>
      </c>
      <c r="F430" s="19">
        <f>SUMIF('C2'!$B$6:$B$2228,B430,'C2'!$D$6:$D$2228)</f>
        <v>0</v>
      </c>
      <c r="G430" s="19">
        <f>SUMIF('C3'!$B$6:$B$2228,B430,'C3'!$D$6:$D$2228)</f>
        <v>0</v>
      </c>
      <c r="H430" s="22"/>
      <c r="I430" s="22"/>
      <c r="J430" s="4" t="s">
        <v>451</v>
      </c>
      <c r="K430" s="4" t="s">
        <v>454</v>
      </c>
    </row>
    <row r="431" spans="2:11">
      <c r="B431" s="1">
        <v>601</v>
      </c>
      <c r="C431" s="4" t="s">
        <v>455</v>
      </c>
      <c r="D431" s="19">
        <f t="shared" si="6"/>
        <v>0</v>
      </c>
      <c r="E431" s="19">
        <f>SUMIF('C1'!$B$6:$B$2228,B431,'C1'!$D$6:$D$2228)</f>
        <v>0</v>
      </c>
      <c r="F431" s="19">
        <f>SUMIF('C2'!$B$6:$B$2228,B431,'C2'!$D$6:$D$2228)</f>
        <v>0</v>
      </c>
      <c r="G431" s="19">
        <f>SUMIF('C3'!$B$6:$B$2228,B431,'C3'!$D$6:$D$2228)</f>
        <v>0</v>
      </c>
      <c r="H431" s="22"/>
      <c r="I431" s="22"/>
      <c r="J431" s="4" t="s">
        <v>451</v>
      </c>
      <c r="K431" s="4" t="s">
        <v>454</v>
      </c>
    </row>
    <row r="432" spans="2:11">
      <c r="B432" s="1">
        <v>602</v>
      </c>
      <c r="C432" s="4" t="s">
        <v>456</v>
      </c>
      <c r="D432" s="19">
        <f t="shared" si="6"/>
        <v>0</v>
      </c>
      <c r="E432" s="19">
        <f>SUMIF('C1'!$B$6:$B$2228,B432,'C1'!$D$6:$D$2228)</f>
        <v>0</v>
      </c>
      <c r="F432" s="19">
        <f>SUMIF('C2'!$B$6:$B$2228,B432,'C2'!$D$6:$D$2228)</f>
        <v>0</v>
      </c>
      <c r="G432" s="19">
        <f>SUMIF('C3'!$B$6:$B$2228,B432,'C3'!$D$6:$D$2228)</f>
        <v>0</v>
      </c>
      <c r="H432" s="22"/>
      <c r="I432" s="22"/>
      <c r="J432" s="4" t="s">
        <v>451</v>
      </c>
      <c r="K432" s="4" t="s">
        <v>454</v>
      </c>
    </row>
    <row r="433" spans="2:11">
      <c r="B433" s="1">
        <v>603</v>
      </c>
      <c r="C433" s="4" t="s">
        <v>457</v>
      </c>
      <c r="D433" s="19">
        <f t="shared" si="6"/>
        <v>0</v>
      </c>
      <c r="E433" s="19">
        <f>SUMIF('C1'!$B$6:$B$2228,B433,'C1'!$D$6:$D$2228)</f>
        <v>0</v>
      </c>
      <c r="F433" s="19">
        <f>SUMIF('C2'!$B$6:$B$2228,B433,'C2'!$D$6:$D$2228)</f>
        <v>0</v>
      </c>
      <c r="G433" s="19">
        <f>SUMIF('C3'!$B$6:$B$2228,B433,'C3'!$D$6:$D$2228)</f>
        <v>0</v>
      </c>
      <c r="H433" s="22"/>
      <c r="I433" s="22"/>
      <c r="J433" s="4" t="s">
        <v>451</v>
      </c>
      <c r="K433" s="4" t="s">
        <v>452</v>
      </c>
    </row>
    <row r="434" spans="2:11">
      <c r="B434" s="1">
        <v>604</v>
      </c>
      <c r="C434" s="4" t="s">
        <v>458</v>
      </c>
      <c r="D434" s="19">
        <f t="shared" si="6"/>
        <v>0</v>
      </c>
      <c r="E434" s="19">
        <f>SUMIF('C1'!$B$6:$B$2228,B434,'C1'!$D$6:$D$2228)</f>
        <v>0</v>
      </c>
      <c r="F434" s="19">
        <f>SUMIF('C2'!$B$6:$B$2228,B434,'C2'!$D$6:$D$2228)</f>
        <v>0</v>
      </c>
      <c r="G434" s="19">
        <f>SUMIF('C3'!$B$6:$B$2228,B434,'C3'!$D$6:$D$2228)</f>
        <v>0</v>
      </c>
      <c r="H434" s="22"/>
      <c r="I434" s="22"/>
      <c r="J434" s="4" t="s">
        <v>451</v>
      </c>
      <c r="K434" s="4" t="s">
        <v>452</v>
      </c>
    </row>
    <row r="435" spans="2:11">
      <c r="B435" s="1">
        <v>605</v>
      </c>
      <c r="C435" s="4" t="s">
        <v>459</v>
      </c>
      <c r="D435" s="19">
        <f t="shared" si="6"/>
        <v>0</v>
      </c>
      <c r="E435" s="19">
        <f>SUMIF('C1'!$B$6:$B$2228,B435,'C1'!$D$6:$D$2228)</f>
        <v>0</v>
      </c>
      <c r="F435" s="19">
        <f>SUMIF('C2'!$B$6:$B$2228,B435,'C2'!$D$6:$D$2228)</f>
        <v>0</v>
      </c>
      <c r="G435" s="19">
        <f>SUMIF('C3'!$B$6:$B$2228,B435,'C3'!$D$6:$D$2228)</f>
        <v>0</v>
      </c>
      <c r="H435" s="22"/>
      <c r="I435" s="22"/>
      <c r="J435" s="4" t="s">
        <v>451</v>
      </c>
      <c r="K435" s="4" t="s">
        <v>452</v>
      </c>
    </row>
    <row r="436" spans="2:11">
      <c r="B436" s="1">
        <v>606</v>
      </c>
      <c r="C436" s="4" t="s">
        <v>460</v>
      </c>
      <c r="D436" s="19">
        <f t="shared" si="6"/>
        <v>0</v>
      </c>
      <c r="E436" s="19">
        <f>SUMIF('C1'!$B$6:$B$2228,B436,'C1'!$D$6:$D$2228)</f>
        <v>0</v>
      </c>
      <c r="F436" s="19">
        <f>SUMIF('C2'!$B$6:$B$2228,B436,'C2'!$D$6:$D$2228)</f>
        <v>0</v>
      </c>
      <c r="G436" s="19">
        <f>SUMIF('C3'!$B$6:$B$2228,B436,'C3'!$D$6:$D$2228)</f>
        <v>0</v>
      </c>
      <c r="H436" s="22"/>
      <c r="I436" s="22"/>
      <c r="J436" s="4" t="s">
        <v>12</v>
      </c>
      <c r="K436" s="4" t="s">
        <v>416</v>
      </c>
    </row>
    <row r="437" spans="2:11">
      <c r="B437" s="1">
        <v>607</v>
      </c>
      <c r="C437" s="4" t="s">
        <v>461</v>
      </c>
      <c r="D437" s="19">
        <f t="shared" si="6"/>
        <v>0</v>
      </c>
      <c r="E437" s="19">
        <f>SUMIF('C1'!$B$6:$B$2228,B437,'C1'!$D$6:$D$2228)</f>
        <v>0</v>
      </c>
      <c r="F437" s="19">
        <f>SUMIF('C2'!$B$6:$B$2228,B437,'C2'!$D$6:$D$2228)</f>
        <v>0</v>
      </c>
      <c r="G437" s="19">
        <f>SUMIF('C3'!$B$6:$B$2228,B437,'C3'!$D$6:$D$2228)</f>
        <v>0</v>
      </c>
      <c r="H437" s="22"/>
      <c r="I437" s="22"/>
      <c r="J437" s="4" t="s">
        <v>12</v>
      </c>
      <c r="K437" s="4" t="s">
        <v>416</v>
      </c>
    </row>
    <row r="438" spans="2:11">
      <c r="B438" s="1">
        <v>608</v>
      </c>
      <c r="C438" s="4" t="s">
        <v>462</v>
      </c>
      <c r="D438" s="19">
        <f t="shared" si="6"/>
        <v>0</v>
      </c>
      <c r="E438" s="19">
        <f>SUMIF('C1'!$B$6:$B$2228,B438,'C1'!$D$6:$D$2228)</f>
        <v>0</v>
      </c>
      <c r="F438" s="19">
        <f>SUMIF('C2'!$B$6:$B$2228,B438,'C2'!$D$6:$D$2228)</f>
        <v>0</v>
      </c>
      <c r="G438" s="19">
        <f>SUMIF('C3'!$B$6:$B$2228,B438,'C3'!$D$6:$D$2228)</f>
        <v>0</v>
      </c>
      <c r="H438" s="22"/>
      <c r="I438" s="22"/>
      <c r="J438" s="4" t="s">
        <v>12</v>
      </c>
      <c r="K438" s="4" t="s">
        <v>416</v>
      </c>
    </row>
    <row r="439" spans="2:11">
      <c r="B439" s="1">
        <v>609</v>
      </c>
      <c r="C439" s="4" t="s">
        <v>463</v>
      </c>
      <c r="D439" s="19">
        <f t="shared" si="6"/>
        <v>0</v>
      </c>
      <c r="E439" s="19">
        <f>SUMIF('C1'!$B$6:$B$2228,B439,'C1'!$D$6:$D$2228)</f>
        <v>0</v>
      </c>
      <c r="F439" s="19">
        <f>SUMIF('C2'!$B$6:$B$2228,B439,'C2'!$D$6:$D$2228)</f>
        <v>0</v>
      </c>
      <c r="G439" s="19">
        <f>SUMIF('C3'!$B$6:$B$2228,B439,'C3'!$D$6:$D$2228)</f>
        <v>0</v>
      </c>
      <c r="H439" s="22"/>
      <c r="I439" s="22"/>
      <c r="J439" s="4" t="s">
        <v>451</v>
      </c>
      <c r="K439" s="4" t="s">
        <v>454</v>
      </c>
    </row>
    <row r="440" spans="2:11">
      <c r="B440" s="1">
        <v>610</v>
      </c>
      <c r="C440" s="4" t="s">
        <v>464</v>
      </c>
      <c r="D440" s="19">
        <f t="shared" si="6"/>
        <v>0</v>
      </c>
      <c r="E440" s="19">
        <f>SUMIF('C1'!$B$6:$B$2228,B440,'C1'!$D$6:$D$2228)</f>
        <v>0</v>
      </c>
      <c r="F440" s="19">
        <f>SUMIF('C2'!$B$6:$B$2228,B440,'C2'!$D$6:$D$2228)</f>
        <v>0</v>
      </c>
      <c r="G440" s="19">
        <f>SUMIF('C3'!$B$6:$B$2228,B440,'C3'!$D$6:$D$2228)</f>
        <v>0</v>
      </c>
      <c r="H440" s="22"/>
      <c r="I440" s="22"/>
      <c r="J440" s="4" t="s">
        <v>451</v>
      </c>
      <c r="K440" s="4" t="s">
        <v>454</v>
      </c>
    </row>
    <row r="441" spans="2:11">
      <c r="B441" s="1">
        <v>611</v>
      </c>
      <c r="C441" s="4" t="s">
        <v>465</v>
      </c>
      <c r="D441" s="19">
        <f t="shared" si="6"/>
        <v>0</v>
      </c>
      <c r="E441" s="19">
        <f>SUMIF('C1'!$B$6:$B$2228,B441,'C1'!$D$6:$D$2228)</f>
        <v>0</v>
      </c>
      <c r="F441" s="19">
        <f>SUMIF('C2'!$B$6:$B$2228,B441,'C2'!$D$6:$D$2228)</f>
        <v>0</v>
      </c>
      <c r="G441" s="19">
        <f>SUMIF('C3'!$B$6:$B$2228,B441,'C3'!$D$6:$D$2228)</f>
        <v>0</v>
      </c>
      <c r="H441" s="22"/>
      <c r="I441" s="22"/>
      <c r="J441" s="4" t="s">
        <v>451</v>
      </c>
      <c r="K441" s="4" t="s">
        <v>454</v>
      </c>
    </row>
    <row r="442" spans="2:11">
      <c r="B442" s="1">
        <v>612</v>
      </c>
      <c r="C442" s="4" t="s">
        <v>466</v>
      </c>
      <c r="D442" s="19">
        <f t="shared" si="6"/>
        <v>0</v>
      </c>
      <c r="E442" s="19">
        <f>SUMIF('C1'!$B$6:$B$2228,B442,'C1'!$D$6:$D$2228)</f>
        <v>0</v>
      </c>
      <c r="F442" s="19">
        <f>SUMIF('C2'!$B$6:$B$2228,B442,'C2'!$D$6:$D$2228)</f>
        <v>0</v>
      </c>
      <c r="G442" s="19">
        <f>SUMIF('C3'!$B$6:$B$2228,B442,'C3'!$D$6:$D$2228)</f>
        <v>0</v>
      </c>
      <c r="H442" s="22"/>
      <c r="I442" s="22"/>
      <c r="J442" s="4" t="s">
        <v>451</v>
      </c>
      <c r="K442" s="4" t="s">
        <v>454</v>
      </c>
    </row>
    <row r="443" spans="2:11">
      <c r="B443" s="1">
        <v>613</v>
      </c>
      <c r="C443" s="4" t="s">
        <v>467</v>
      </c>
      <c r="D443" s="19">
        <f t="shared" si="6"/>
        <v>0</v>
      </c>
      <c r="E443" s="19">
        <f>SUMIF('C1'!$B$6:$B$2228,B443,'C1'!$D$6:$D$2228)</f>
        <v>0</v>
      </c>
      <c r="F443" s="19">
        <f>SUMIF('C2'!$B$6:$B$2228,B443,'C2'!$D$6:$D$2228)</f>
        <v>0</v>
      </c>
      <c r="G443" s="19">
        <f>SUMIF('C3'!$B$6:$B$2228,B443,'C3'!$D$6:$D$2228)</f>
        <v>0</v>
      </c>
      <c r="H443" s="22"/>
      <c r="I443" s="22"/>
      <c r="J443" s="4" t="s">
        <v>451</v>
      </c>
      <c r="K443" s="4" t="s">
        <v>452</v>
      </c>
    </row>
    <row r="444" spans="2:11">
      <c r="B444" s="1">
        <v>614</v>
      </c>
      <c r="C444" s="4" t="s">
        <v>468</v>
      </c>
      <c r="D444" s="19">
        <f t="shared" si="6"/>
        <v>0</v>
      </c>
      <c r="E444" s="19">
        <f>SUMIF('C1'!$B$6:$B$2228,B444,'C1'!$D$6:$D$2228)</f>
        <v>0</v>
      </c>
      <c r="F444" s="19">
        <f>SUMIF('C2'!$B$6:$B$2228,B444,'C2'!$D$6:$D$2228)</f>
        <v>0</v>
      </c>
      <c r="G444" s="19">
        <f>SUMIF('C3'!$B$6:$B$2228,B444,'C3'!$D$6:$D$2228)</f>
        <v>0</v>
      </c>
      <c r="H444" s="22"/>
      <c r="I444" s="22"/>
      <c r="J444" s="4" t="s">
        <v>451</v>
      </c>
      <c r="K444" s="4" t="s">
        <v>452</v>
      </c>
    </row>
    <row r="445" spans="2:11">
      <c r="B445" s="1">
        <v>615</v>
      </c>
      <c r="C445" s="4" t="s">
        <v>469</v>
      </c>
      <c r="D445" s="19">
        <f t="shared" si="6"/>
        <v>0</v>
      </c>
      <c r="E445" s="19">
        <f>SUMIF('C1'!$B$6:$B$2228,B445,'C1'!$D$6:$D$2228)</f>
        <v>0</v>
      </c>
      <c r="F445" s="19">
        <f>SUMIF('C2'!$B$6:$B$2228,B445,'C2'!$D$6:$D$2228)</f>
        <v>0</v>
      </c>
      <c r="G445" s="19">
        <f>SUMIF('C3'!$B$6:$B$2228,B445,'C3'!$D$6:$D$2228)</f>
        <v>0</v>
      </c>
      <c r="H445" s="22"/>
      <c r="I445" s="22"/>
      <c r="J445" s="4" t="s">
        <v>451</v>
      </c>
      <c r="K445" s="4" t="s">
        <v>452</v>
      </c>
    </row>
    <row r="446" spans="2:11">
      <c r="B446" s="1">
        <v>616</v>
      </c>
      <c r="C446" s="4" t="s">
        <v>470</v>
      </c>
      <c r="D446" s="19">
        <f t="shared" si="6"/>
        <v>0</v>
      </c>
      <c r="E446" s="19">
        <f>SUMIF('C1'!$B$6:$B$2228,B446,'C1'!$D$6:$D$2228)</f>
        <v>0</v>
      </c>
      <c r="F446" s="19">
        <f>SUMIF('C2'!$B$6:$B$2228,B446,'C2'!$D$6:$D$2228)</f>
        <v>0</v>
      </c>
      <c r="G446" s="19">
        <f>SUMIF('C3'!$B$6:$B$2228,B446,'C3'!$D$6:$D$2228)</f>
        <v>0</v>
      </c>
      <c r="H446" s="22"/>
      <c r="I446" s="22"/>
      <c r="J446" s="4" t="s">
        <v>451</v>
      </c>
      <c r="K446" s="4" t="s">
        <v>452</v>
      </c>
    </row>
    <row r="447" spans="2:11">
      <c r="B447" s="1">
        <v>617</v>
      </c>
      <c r="C447" s="4" t="s">
        <v>471</v>
      </c>
      <c r="D447" s="19">
        <f t="shared" si="6"/>
        <v>0</v>
      </c>
      <c r="E447" s="19">
        <f>SUMIF('C1'!$B$6:$B$2228,B447,'C1'!$D$6:$D$2228)</f>
        <v>0</v>
      </c>
      <c r="F447" s="19">
        <f>SUMIF('C2'!$B$6:$B$2228,B447,'C2'!$D$6:$D$2228)</f>
        <v>0</v>
      </c>
      <c r="G447" s="19">
        <f>SUMIF('C3'!$B$6:$B$2228,B447,'C3'!$D$6:$D$2228)</f>
        <v>0</v>
      </c>
      <c r="H447" s="22"/>
      <c r="I447" s="22"/>
      <c r="J447" s="4" t="s">
        <v>51</v>
      </c>
      <c r="K447" s="4" t="s">
        <v>52</v>
      </c>
    </row>
    <row r="448" spans="2:11">
      <c r="B448" s="1">
        <v>618</v>
      </c>
      <c r="C448" s="4" t="s">
        <v>472</v>
      </c>
      <c r="D448" s="19">
        <f t="shared" si="6"/>
        <v>0</v>
      </c>
      <c r="E448" s="19">
        <f>SUMIF('C1'!$B$6:$B$2228,B448,'C1'!$D$6:$D$2228)</f>
        <v>0</v>
      </c>
      <c r="F448" s="19">
        <f>SUMIF('C2'!$B$6:$B$2228,B448,'C2'!$D$6:$D$2228)</f>
        <v>0</v>
      </c>
      <c r="G448" s="19">
        <f>SUMIF('C3'!$B$6:$B$2228,B448,'C3'!$D$6:$D$2228)</f>
        <v>0</v>
      </c>
      <c r="H448" s="22"/>
      <c r="I448" s="22"/>
      <c r="J448" s="4" t="s">
        <v>451</v>
      </c>
      <c r="K448" s="4" t="s">
        <v>454</v>
      </c>
    </row>
    <row r="449" spans="2:11">
      <c r="B449" s="1">
        <v>619</v>
      </c>
      <c r="C449" s="4" t="s">
        <v>473</v>
      </c>
      <c r="D449" s="19">
        <f t="shared" si="6"/>
        <v>0</v>
      </c>
      <c r="E449" s="19">
        <f>SUMIF('C1'!$B$6:$B$2228,B449,'C1'!$D$6:$D$2228)</f>
        <v>0</v>
      </c>
      <c r="F449" s="19">
        <f>SUMIF('C2'!$B$6:$B$2228,B449,'C2'!$D$6:$D$2228)</f>
        <v>0</v>
      </c>
      <c r="G449" s="19">
        <f>SUMIF('C3'!$B$6:$B$2228,B449,'C3'!$D$6:$D$2228)</f>
        <v>0</v>
      </c>
      <c r="H449" s="22"/>
      <c r="I449" s="22"/>
      <c r="J449" s="4" t="s">
        <v>12</v>
      </c>
      <c r="K449" s="4" t="s">
        <v>416</v>
      </c>
    </row>
    <row r="450" spans="2:11">
      <c r="B450" s="1">
        <v>620</v>
      </c>
      <c r="C450" s="4" t="s">
        <v>474</v>
      </c>
      <c r="D450" s="19">
        <f t="shared" si="6"/>
        <v>0</v>
      </c>
      <c r="E450" s="19">
        <f>SUMIF('C1'!$B$6:$B$2228,B450,'C1'!$D$6:$D$2228)</f>
        <v>0</v>
      </c>
      <c r="F450" s="19">
        <f>SUMIF('C2'!$B$6:$B$2228,B450,'C2'!$D$6:$D$2228)</f>
        <v>0</v>
      </c>
      <c r="G450" s="19">
        <f>SUMIF('C3'!$B$6:$B$2228,B450,'C3'!$D$6:$D$2228)</f>
        <v>0</v>
      </c>
      <c r="H450" s="22"/>
      <c r="I450" s="22"/>
      <c r="J450" s="4" t="s">
        <v>12</v>
      </c>
      <c r="K450" s="4" t="s">
        <v>416</v>
      </c>
    </row>
    <row r="451" spans="2:11">
      <c r="B451" s="1">
        <v>621</v>
      </c>
      <c r="C451" s="4" t="s">
        <v>475</v>
      </c>
      <c r="D451" s="19">
        <f t="shared" si="6"/>
        <v>0</v>
      </c>
      <c r="E451" s="19">
        <f>SUMIF('C1'!$B$6:$B$2228,B451,'C1'!$D$6:$D$2228)</f>
        <v>0</v>
      </c>
      <c r="F451" s="19">
        <f>SUMIF('C2'!$B$6:$B$2228,B451,'C2'!$D$6:$D$2228)</f>
        <v>0</v>
      </c>
      <c r="G451" s="19">
        <f>SUMIF('C3'!$B$6:$B$2228,B451,'C3'!$D$6:$D$2228)</f>
        <v>0</v>
      </c>
      <c r="H451" s="22"/>
      <c r="I451" s="22"/>
      <c r="J451" s="4" t="s">
        <v>12</v>
      </c>
      <c r="K451" s="4" t="s">
        <v>416</v>
      </c>
    </row>
    <row r="452" spans="2:11">
      <c r="B452" s="1">
        <v>622</v>
      </c>
      <c r="C452" s="4" t="s">
        <v>476</v>
      </c>
      <c r="D452" s="19">
        <f t="shared" si="6"/>
        <v>0</v>
      </c>
      <c r="E452" s="19">
        <f>SUMIF('C1'!$B$6:$B$2228,B452,'C1'!$D$6:$D$2228)</f>
        <v>0</v>
      </c>
      <c r="F452" s="19">
        <f>SUMIF('C2'!$B$6:$B$2228,B452,'C2'!$D$6:$D$2228)</f>
        <v>0</v>
      </c>
      <c r="G452" s="19">
        <f>SUMIF('C3'!$B$6:$B$2228,B452,'C3'!$D$6:$D$2228)</f>
        <v>0</v>
      </c>
      <c r="H452" s="22"/>
      <c r="I452" s="22"/>
      <c r="J452" s="4" t="s">
        <v>451</v>
      </c>
      <c r="K452" s="4" t="s">
        <v>454</v>
      </c>
    </row>
    <row r="453" spans="2:11">
      <c r="B453" s="1">
        <v>623</v>
      </c>
      <c r="C453" s="4" t="s">
        <v>477</v>
      </c>
      <c r="D453" s="19">
        <f t="shared" si="6"/>
        <v>0</v>
      </c>
      <c r="E453" s="19">
        <f>SUMIF('C1'!$B$6:$B$2228,B453,'C1'!$D$6:$D$2228)</f>
        <v>0</v>
      </c>
      <c r="F453" s="19">
        <f>SUMIF('C2'!$B$6:$B$2228,B453,'C2'!$D$6:$D$2228)</f>
        <v>0</v>
      </c>
      <c r="G453" s="19">
        <f>SUMIF('C3'!$B$6:$B$2228,B453,'C3'!$D$6:$D$2228)</f>
        <v>0</v>
      </c>
      <c r="H453" s="22"/>
      <c r="I453" s="22"/>
      <c r="J453" s="4" t="s">
        <v>127</v>
      </c>
      <c r="K453" s="4" t="s">
        <v>128</v>
      </c>
    </row>
    <row r="454" spans="2:11">
      <c r="B454" s="1">
        <v>624</v>
      </c>
      <c r="C454" s="4" t="s">
        <v>478</v>
      </c>
      <c r="D454" s="19">
        <f t="shared" si="6"/>
        <v>0</v>
      </c>
      <c r="E454" s="19">
        <f>SUMIF('C1'!$B$6:$B$2228,B454,'C1'!$D$6:$D$2228)</f>
        <v>0</v>
      </c>
      <c r="F454" s="19">
        <f>SUMIF('C2'!$B$6:$B$2228,B454,'C2'!$D$6:$D$2228)</f>
        <v>0</v>
      </c>
      <c r="G454" s="19">
        <f>SUMIF('C3'!$B$6:$B$2228,B454,'C3'!$D$6:$D$2228)</f>
        <v>0</v>
      </c>
      <c r="H454" s="22"/>
      <c r="I454" s="22"/>
      <c r="J454" s="4" t="s">
        <v>127</v>
      </c>
      <c r="K454" s="4" t="s">
        <v>128</v>
      </c>
    </row>
    <row r="455" spans="2:11">
      <c r="B455" s="1">
        <v>625</v>
      </c>
      <c r="C455" s="4" t="s">
        <v>479</v>
      </c>
      <c r="D455" s="19">
        <f t="shared" ref="D455:D518" si="7">SUM(E455:I455)</f>
        <v>0</v>
      </c>
      <c r="E455" s="19">
        <f>SUMIF('C1'!$B$6:$B$2228,B455,'C1'!$D$6:$D$2228)</f>
        <v>0</v>
      </c>
      <c r="F455" s="19">
        <f>SUMIF('C2'!$B$6:$B$2228,B455,'C2'!$D$6:$D$2228)</f>
        <v>0</v>
      </c>
      <c r="G455" s="19">
        <f>SUMIF('C3'!$B$6:$B$2228,B455,'C3'!$D$6:$D$2228)</f>
        <v>0</v>
      </c>
      <c r="H455" s="22"/>
      <c r="I455" s="22"/>
      <c r="J455" s="4" t="s">
        <v>451</v>
      </c>
      <c r="K455" s="4" t="s">
        <v>454</v>
      </c>
    </row>
    <row r="456" spans="2:11">
      <c r="B456" s="1">
        <v>626</v>
      </c>
      <c r="C456" s="4" t="s">
        <v>480</v>
      </c>
      <c r="D456" s="19">
        <f t="shared" si="7"/>
        <v>0</v>
      </c>
      <c r="E456" s="19">
        <f>SUMIF('C1'!$B$6:$B$2228,B456,'C1'!$D$6:$D$2228)</f>
        <v>0</v>
      </c>
      <c r="F456" s="19">
        <f>SUMIF('C2'!$B$6:$B$2228,B456,'C2'!$D$6:$D$2228)</f>
        <v>0</v>
      </c>
      <c r="G456" s="19">
        <f>SUMIF('C3'!$B$6:$B$2228,B456,'C3'!$D$6:$D$2228)</f>
        <v>0</v>
      </c>
      <c r="H456" s="22"/>
      <c r="I456" s="22"/>
      <c r="J456" s="4" t="s">
        <v>451</v>
      </c>
      <c r="K456" s="4" t="s">
        <v>454</v>
      </c>
    </row>
    <row r="457" spans="2:11">
      <c r="B457" s="1">
        <v>627</v>
      </c>
      <c r="C457" s="4" t="s">
        <v>481</v>
      </c>
      <c r="D457" s="19">
        <f t="shared" si="7"/>
        <v>0</v>
      </c>
      <c r="E457" s="19">
        <f>SUMIF('C1'!$B$6:$B$2228,B457,'C1'!$D$6:$D$2228)</f>
        <v>0</v>
      </c>
      <c r="F457" s="19">
        <f>SUMIF('C2'!$B$6:$B$2228,B457,'C2'!$D$6:$D$2228)</f>
        <v>0</v>
      </c>
      <c r="G457" s="19">
        <f>SUMIF('C3'!$B$6:$B$2228,B457,'C3'!$D$6:$D$2228)</f>
        <v>0</v>
      </c>
      <c r="H457" s="22"/>
      <c r="I457" s="22"/>
      <c r="J457" s="4" t="s">
        <v>451</v>
      </c>
      <c r="K457" s="4" t="s">
        <v>454</v>
      </c>
    </row>
    <row r="458" spans="2:11">
      <c r="B458" s="1">
        <v>628</v>
      </c>
      <c r="C458" s="4" t="s">
        <v>482</v>
      </c>
      <c r="D458" s="19">
        <f t="shared" si="7"/>
        <v>0</v>
      </c>
      <c r="E458" s="19">
        <f>SUMIF('C1'!$B$6:$B$2228,B458,'C1'!$D$6:$D$2228)</f>
        <v>0</v>
      </c>
      <c r="F458" s="19">
        <f>SUMIF('C2'!$B$6:$B$2228,B458,'C2'!$D$6:$D$2228)</f>
        <v>0</v>
      </c>
      <c r="G458" s="19">
        <f>SUMIF('C3'!$B$6:$B$2228,B458,'C3'!$D$6:$D$2228)</f>
        <v>0</v>
      </c>
      <c r="H458" s="22"/>
      <c r="I458" s="22"/>
      <c r="J458" s="4" t="s">
        <v>451</v>
      </c>
      <c r="K458" s="4" t="s">
        <v>454</v>
      </c>
    </row>
    <row r="459" spans="2:11">
      <c r="B459" s="1">
        <v>629</v>
      </c>
      <c r="C459" s="4" t="s">
        <v>483</v>
      </c>
      <c r="D459" s="19">
        <f t="shared" si="7"/>
        <v>0</v>
      </c>
      <c r="E459" s="19">
        <f>SUMIF('C1'!$B$6:$B$2228,B459,'C1'!$D$6:$D$2228)</f>
        <v>0</v>
      </c>
      <c r="F459" s="19">
        <f>SUMIF('C2'!$B$6:$B$2228,B459,'C2'!$D$6:$D$2228)</f>
        <v>0</v>
      </c>
      <c r="G459" s="19">
        <f>SUMIF('C3'!$B$6:$B$2228,B459,'C3'!$D$6:$D$2228)</f>
        <v>0</v>
      </c>
      <c r="H459" s="22"/>
      <c r="I459" s="22"/>
      <c r="J459" s="4" t="s">
        <v>451</v>
      </c>
      <c r="K459" s="4" t="s">
        <v>454</v>
      </c>
    </row>
    <row r="460" spans="2:11">
      <c r="B460" s="1">
        <v>630</v>
      </c>
      <c r="C460" s="4" t="s">
        <v>484</v>
      </c>
      <c r="D460" s="19">
        <f t="shared" si="7"/>
        <v>0</v>
      </c>
      <c r="E460" s="19">
        <f>SUMIF('C1'!$B$6:$B$2228,B460,'C1'!$D$6:$D$2228)</f>
        <v>0</v>
      </c>
      <c r="F460" s="19">
        <f>SUMIF('C2'!$B$6:$B$2228,B460,'C2'!$D$6:$D$2228)</f>
        <v>0</v>
      </c>
      <c r="G460" s="19">
        <f>SUMIF('C3'!$B$6:$B$2228,B460,'C3'!$D$6:$D$2228)</f>
        <v>0</v>
      </c>
      <c r="H460" s="22"/>
      <c r="I460" s="22"/>
      <c r="J460" s="4" t="s">
        <v>451</v>
      </c>
      <c r="K460" s="4" t="s">
        <v>454</v>
      </c>
    </row>
    <row r="461" spans="2:11">
      <c r="B461" s="1">
        <v>631</v>
      </c>
      <c r="C461" s="4" t="s">
        <v>485</v>
      </c>
      <c r="D461" s="19">
        <f t="shared" si="7"/>
        <v>0</v>
      </c>
      <c r="E461" s="19">
        <f>SUMIF('C1'!$B$6:$B$2228,B461,'C1'!$D$6:$D$2228)</f>
        <v>0</v>
      </c>
      <c r="F461" s="19">
        <f>SUMIF('C2'!$B$6:$B$2228,B461,'C2'!$D$6:$D$2228)</f>
        <v>0</v>
      </c>
      <c r="G461" s="19">
        <f>SUMIF('C3'!$B$6:$B$2228,B461,'C3'!$D$6:$D$2228)</f>
        <v>0</v>
      </c>
      <c r="H461" s="22"/>
      <c r="I461" s="22"/>
      <c r="J461" s="4" t="s">
        <v>451</v>
      </c>
      <c r="K461" s="4" t="s">
        <v>452</v>
      </c>
    </row>
    <row r="462" spans="2:11">
      <c r="B462" s="1">
        <v>632</v>
      </c>
      <c r="C462" s="4" t="s">
        <v>486</v>
      </c>
      <c r="D462" s="19">
        <f t="shared" si="7"/>
        <v>0</v>
      </c>
      <c r="E462" s="19">
        <f>SUMIF('C1'!$B$6:$B$2228,B462,'C1'!$D$6:$D$2228)</f>
        <v>0</v>
      </c>
      <c r="F462" s="19">
        <f>SUMIF('C2'!$B$6:$B$2228,B462,'C2'!$D$6:$D$2228)</f>
        <v>0</v>
      </c>
      <c r="G462" s="19">
        <f>SUMIF('C3'!$B$6:$B$2228,B462,'C3'!$D$6:$D$2228)</f>
        <v>0</v>
      </c>
      <c r="H462" s="22"/>
      <c r="I462" s="22"/>
      <c r="J462" s="4" t="s">
        <v>451</v>
      </c>
      <c r="K462" s="4" t="s">
        <v>452</v>
      </c>
    </row>
    <row r="463" spans="2:11">
      <c r="B463" s="1">
        <v>633</v>
      </c>
      <c r="C463" s="4" t="s">
        <v>487</v>
      </c>
      <c r="D463" s="19">
        <f t="shared" si="7"/>
        <v>0</v>
      </c>
      <c r="E463" s="19">
        <f>SUMIF('C1'!$B$6:$B$2228,B463,'C1'!$D$6:$D$2228)</f>
        <v>0</v>
      </c>
      <c r="F463" s="19">
        <f>SUMIF('C2'!$B$6:$B$2228,B463,'C2'!$D$6:$D$2228)</f>
        <v>0</v>
      </c>
      <c r="G463" s="19">
        <f>SUMIF('C3'!$B$6:$B$2228,B463,'C3'!$D$6:$D$2228)</f>
        <v>0</v>
      </c>
      <c r="H463" s="22"/>
      <c r="I463" s="22"/>
      <c r="J463" s="4" t="s">
        <v>451</v>
      </c>
      <c r="K463" s="4" t="s">
        <v>454</v>
      </c>
    </row>
    <row r="464" spans="2:11">
      <c r="B464" s="1">
        <v>634</v>
      </c>
      <c r="C464" s="4" t="s">
        <v>488</v>
      </c>
      <c r="D464" s="19">
        <f t="shared" si="7"/>
        <v>0</v>
      </c>
      <c r="E464" s="19">
        <f>SUMIF('C1'!$B$6:$B$2228,B464,'C1'!$D$6:$D$2228)</f>
        <v>0</v>
      </c>
      <c r="F464" s="19">
        <f>SUMIF('C2'!$B$6:$B$2228,B464,'C2'!$D$6:$D$2228)</f>
        <v>0</v>
      </c>
      <c r="G464" s="19">
        <f>SUMIF('C3'!$B$6:$B$2228,B464,'C3'!$D$6:$D$2228)</f>
        <v>0</v>
      </c>
      <c r="H464" s="22"/>
      <c r="I464" s="22"/>
      <c r="J464" s="4" t="s">
        <v>451</v>
      </c>
      <c r="K464" s="4" t="s">
        <v>452</v>
      </c>
    </row>
    <row r="465" spans="2:11">
      <c r="B465" s="1">
        <v>635</v>
      </c>
      <c r="C465" s="4" t="s">
        <v>489</v>
      </c>
      <c r="D465" s="19">
        <f t="shared" si="7"/>
        <v>0</v>
      </c>
      <c r="E465" s="19">
        <f>SUMIF('C1'!$B$6:$B$2228,B465,'C1'!$D$6:$D$2228)</f>
        <v>0</v>
      </c>
      <c r="F465" s="19">
        <f>SUMIF('C2'!$B$6:$B$2228,B465,'C2'!$D$6:$D$2228)</f>
        <v>0</v>
      </c>
      <c r="G465" s="19">
        <f>SUMIF('C3'!$B$6:$B$2228,B465,'C3'!$D$6:$D$2228)</f>
        <v>0</v>
      </c>
      <c r="H465" s="22"/>
      <c r="I465" s="22"/>
      <c r="J465" s="4" t="s">
        <v>451</v>
      </c>
      <c r="K465" s="4" t="s">
        <v>454</v>
      </c>
    </row>
    <row r="466" spans="2:11">
      <c r="B466" s="1">
        <v>636</v>
      </c>
      <c r="C466" s="4" t="s">
        <v>490</v>
      </c>
      <c r="D466" s="19">
        <f t="shared" si="7"/>
        <v>0</v>
      </c>
      <c r="E466" s="19">
        <f>SUMIF('C1'!$B$6:$B$2228,B466,'C1'!$D$6:$D$2228)</f>
        <v>0</v>
      </c>
      <c r="F466" s="19">
        <f>SUMIF('C2'!$B$6:$B$2228,B466,'C2'!$D$6:$D$2228)</f>
        <v>0</v>
      </c>
      <c r="G466" s="19">
        <f>SUMIF('C3'!$B$6:$B$2228,B466,'C3'!$D$6:$D$2228)</f>
        <v>0</v>
      </c>
      <c r="H466" s="22"/>
      <c r="I466" s="22"/>
      <c r="J466" s="4" t="s">
        <v>451</v>
      </c>
      <c r="K466" s="4" t="s">
        <v>454</v>
      </c>
    </row>
    <row r="467" spans="2:11">
      <c r="B467" s="1">
        <v>637</v>
      </c>
      <c r="C467" s="4" t="s">
        <v>491</v>
      </c>
      <c r="D467" s="19">
        <f t="shared" si="7"/>
        <v>0</v>
      </c>
      <c r="E467" s="19">
        <f>SUMIF('C1'!$B$6:$B$2228,B467,'C1'!$D$6:$D$2228)</f>
        <v>0</v>
      </c>
      <c r="F467" s="19">
        <f>SUMIF('C2'!$B$6:$B$2228,B467,'C2'!$D$6:$D$2228)</f>
        <v>0</v>
      </c>
      <c r="G467" s="19">
        <f>SUMIF('C3'!$B$6:$B$2228,B467,'C3'!$D$6:$D$2228)</f>
        <v>0</v>
      </c>
      <c r="H467" s="22"/>
      <c r="I467" s="22"/>
      <c r="J467" s="4" t="s">
        <v>451</v>
      </c>
      <c r="K467" s="4" t="s">
        <v>454</v>
      </c>
    </row>
    <row r="468" spans="2:11">
      <c r="B468" s="1">
        <v>638</v>
      </c>
      <c r="C468" s="4" t="s">
        <v>492</v>
      </c>
      <c r="D468" s="19">
        <f t="shared" si="7"/>
        <v>0</v>
      </c>
      <c r="E468" s="19">
        <f>SUMIF('C1'!$B$6:$B$2228,B468,'C1'!$D$6:$D$2228)</f>
        <v>0</v>
      </c>
      <c r="F468" s="19">
        <f>SUMIF('C2'!$B$6:$B$2228,B468,'C2'!$D$6:$D$2228)</f>
        <v>0</v>
      </c>
      <c r="G468" s="19">
        <f>SUMIF('C3'!$B$6:$B$2228,B468,'C3'!$D$6:$D$2228)</f>
        <v>0</v>
      </c>
      <c r="H468" s="22"/>
      <c r="I468" s="22"/>
      <c r="J468" s="4" t="s">
        <v>451</v>
      </c>
      <c r="K468" s="4" t="s">
        <v>454</v>
      </c>
    </row>
    <row r="469" spans="2:11">
      <c r="B469" s="1">
        <v>639</v>
      </c>
      <c r="C469" s="4" t="s">
        <v>493</v>
      </c>
      <c r="D469" s="19">
        <f t="shared" si="7"/>
        <v>0</v>
      </c>
      <c r="E469" s="19">
        <f>SUMIF('C1'!$B$6:$B$2228,B469,'C1'!$D$6:$D$2228)</f>
        <v>0</v>
      </c>
      <c r="F469" s="19">
        <f>SUMIF('C2'!$B$6:$B$2228,B469,'C2'!$D$6:$D$2228)</f>
        <v>0</v>
      </c>
      <c r="G469" s="19">
        <f>SUMIF('C3'!$B$6:$B$2228,B469,'C3'!$D$6:$D$2228)</f>
        <v>0</v>
      </c>
      <c r="H469" s="22"/>
      <c r="I469" s="22"/>
      <c r="J469" s="4" t="s">
        <v>451</v>
      </c>
      <c r="K469" s="4" t="s">
        <v>454</v>
      </c>
    </row>
    <row r="470" spans="2:11">
      <c r="B470" s="1">
        <v>640</v>
      </c>
      <c r="C470" s="4" t="s">
        <v>494</v>
      </c>
      <c r="D470" s="19">
        <f t="shared" si="7"/>
        <v>0</v>
      </c>
      <c r="E470" s="19">
        <f>SUMIF('C1'!$B$6:$B$2228,B470,'C1'!$D$6:$D$2228)</f>
        <v>0</v>
      </c>
      <c r="F470" s="19">
        <f>SUMIF('C2'!$B$6:$B$2228,B470,'C2'!$D$6:$D$2228)</f>
        <v>0</v>
      </c>
      <c r="G470" s="19">
        <f>SUMIF('C3'!$B$6:$B$2228,B470,'C3'!$D$6:$D$2228)</f>
        <v>0</v>
      </c>
      <c r="H470" s="22"/>
      <c r="I470" s="22"/>
      <c r="J470" s="4" t="s">
        <v>451</v>
      </c>
      <c r="K470" s="4" t="s">
        <v>454</v>
      </c>
    </row>
    <row r="471" spans="2:11">
      <c r="B471" s="1">
        <v>641</v>
      </c>
      <c r="C471" s="4" t="s">
        <v>495</v>
      </c>
      <c r="D471" s="19">
        <f t="shared" si="7"/>
        <v>0</v>
      </c>
      <c r="E471" s="19">
        <f>SUMIF('C1'!$B$6:$B$2228,B471,'C1'!$D$6:$D$2228)</f>
        <v>0</v>
      </c>
      <c r="F471" s="19">
        <f>SUMIF('C2'!$B$6:$B$2228,B471,'C2'!$D$6:$D$2228)</f>
        <v>0</v>
      </c>
      <c r="G471" s="19">
        <f>SUMIF('C3'!$B$6:$B$2228,B471,'C3'!$D$6:$D$2228)</f>
        <v>0</v>
      </c>
      <c r="H471" s="22"/>
      <c r="I471" s="22"/>
      <c r="J471" s="4" t="s">
        <v>451</v>
      </c>
      <c r="K471" s="4" t="s">
        <v>452</v>
      </c>
    </row>
    <row r="472" spans="2:11">
      <c r="B472" s="1">
        <v>642</v>
      </c>
      <c r="C472" s="4" t="s">
        <v>496</v>
      </c>
      <c r="D472" s="19">
        <f t="shared" si="7"/>
        <v>0</v>
      </c>
      <c r="E472" s="19">
        <f>SUMIF('C1'!$B$6:$B$2228,B472,'C1'!$D$6:$D$2228)</f>
        <v>0</v>
      </c>
      <c r="F472" s="19">
        <f>SUMIF('C2'!$B$6:$B$2228,B472,'C2'!$D$6:$D$2228)</f>
        <v>0</v>
      </c>
      <c r="G472" s="19">
        <f>SUMIF('C3'!$B$6:$B$2228,B472,'C3'!$D$6:$D$2228)</f>
        <v>0</v>
      </c>
      <c r="H472" s="22"/>
      <c r="I472" s="22"/>
      <c r="J472" s="4" t="s">
        <v>451</v>
      </c>
      <c r="K472" s="4" t="s">
        <v>454</v>
      </c>
    </row>
    <row r="473" spans="2:11">
      <c r="B473" s="1">
        <v>643</v>
      </c>
      <c r="C473" s="4" t="s">
        <v>497</v>
      </c>
      <c r="D473" s="19">
        <f t="shared" si="7"/>
        <v>0</v>
      </c>
      <c r="E473" s="19">
        <f>SUMIF('C1'!$B$6:$B$2228,B473,'C1'!$D$6:$D$2228)</f>
        <v>0</v>
      </c>
      <c r="F473" s="19">
        <f>SUMIF('C2'!$B$6:$B$2228,B473,'C2'!$D$6:$D$2228)</f>
        <v>0</v>
      </c>
      <c r="G473" s="19">
        <f>SUMIF('C3'!$B$6:$B$2228,B473,'C3'!$D$6:$D$2228)</f>
        <v>0</v>
      </c>
      <c r="H473" s="22"/>
      <c r="I473" s="22"/>
      <c r="J473" s="4" t="s">
        <v>451</v>
      </c>
      <c r="K473" s="4" t="s">
        <v>454</v>
      </c>
    </row>
    <row r="474" spans="2:11">
      <c r="B474" s="1">
        <v>644</v>
      </c>
      <c r="C474" s="4" t="s">
        <v>498</v>
      </c>
      <c r="D474" s="19">
        <f t="shared" si="7"/>
        <v>0</v>
      </c>
      <c r="E474" s="19">
        <f>SUMIF('C1'!$B$6:$B$2228,B474,'C1'!$D$6:$D$2228)</f>
        <v>0</v>
      </c>
      <c r="F474" s="19">
        <f>SUMIF('C2'!$B$6:$B$2228,B474,'C2'!$D$6:$D$2228)</f>
        <v>0</v>
      </c>
      <c r="G474" s="19">
        <f>SUMIF('C3'!$B$6:$B$2228,B474,'C3'!$D$6:$D$2228)</f>
        <v>0</v>
      </c>
      <c r="H474" s="22"/>
      <c r="I474" s="22"/>
      <c r="J474" s="4" t="s">
        <v>451</v>
      </c>
      <c r="K474" s="4" t="s">
        <v>454</v>
      </c>
    </row>
    <row r="475" spans="2:11">
      <c r="B475" s="1">
        <v>645</v>
      </c>
      <c r="C475" s="4" t="s">
        <v>499</v>
      </c>
      <c r="D475" s="19">
        <f t="shared" si="7"/>
        <v>0</v>
      </c>
      <c r="E475" s="19">
        <f>SUMIF('C1'!$B$6:$B$2228,B475,'C1'!$D$6:$D$2228)</f>
        <v>0</v>
      </c>
      <c r="F475" s="19">
        <f>SUMIF('C2'!$B$6:$B$2228,B475,'C2'!$D$6:$D$2228)</f>
        <v>0</v>
      </c>
      <c r="G475" s="19">
        <f>SUMIF('C3'!$B$6:$B$2228,B475,'C3'!$D$6:$D$2228)</f>
        <v>0</v>
      </c>
      <c r="H475" s="22"/>
      <c r="I475" s="22"/>
      <c r="J475" s="4" t="s">
        <v>451</v>
      </c>
      <c r="K475" s="4" t="s">
        <v>452</v>
      </c>
    </row>
    <row r="476" spans="2:11">
      <c r="B476" s="1">
        <v>646</v>
      </c>
      <c r="C476" s="4" t="s">
        <v>500</v>
      </c>
      <c r="D476" s="19">
        <f t="shared" si="7"/>
        <v>0</v>
      </c>
      <c r="E476" s="19">
        <f>SUMIF('C1'!$B$6:$B$2228,B476,'C1'!$D$6:$D$2228)</f>
        <v>0</v>
      </c>
      <c r="F476" s="19">
        <f>SUMIF('C2'!$B$6:$B$2228,B476,'C2'!$D$6:$D$2228)</f>
        <v>0</v>
      </c>
      <c r="G476" s="19">
        <f>SUMIF('C3'!$B$6:$B$2228,B476,'C3'!$D$6:$D$2228)</f>
        <v>0</v>
      </c>
      <c r="H476" s="22"/>
      <c r="I476" s="22"/>
      <c r="J476" s="4" t="s">
        <v>451</v>
      </c>
      <c r="K476" s="4" t="s">
        <v>454</v>
      </c>
    </row>
    <row r="477" spans="2:11">
      <c r="B477" s="1">
        <v>647</v>
      </c>
      <c r="C477" s="4" t="s">
        <v>501</v>
      </c>
      <c r="D477" s="19">
        <f t="shared" si="7"/>
        <v>0</v>
      </c>
      <c r="E477" s="19">
        <f>SUMIF('C1'!$B$6:$B$2228,B477,'C1'!$D$6:$D$2228)</f>
        <v>0</v>
      </c>
      <c r="F477" s="19">
        <f>SUMIF('C2'!$B$6:$B$2228,B477,'C2'!$D$6:$D$2228)</f>
        <v>0</v>
      </c>
      <c r="G477" s="19">
        <f>SUMIF('C3'!$B$6:$B$2228,B477,'C3'!$D$6:$D$2228)</f>
        <v>0</v>
      </c>
      <c r="H477" s="22"/>
      <c r="I477" s="22"/>
      <c r="J477" s="4" t="s">
        <v>451</v>
      </c>
      <c r="K477" s="4" t="s">
        <v>454</v>
      </c>
    </row>
    <row r="478" spans="2:11">
      <c r="B478" s="1">
        <v>648</v>
      </c>
      <c r="C478" s="4" t="s">
        <v>502</v>
      </c>
      <c r="D478" s="19">
        <f t="shared" si="7"/>
        <v>0</v>
      </c>
      <c r="E478" s="19">
        <f>SUMIF('C1'!$B$6:$B$2228,B478,'C1'!$D$6:$D$2228)</f>
        <v>0</v>
      </c>
      <c r="F478" s="19">
        <f>SUMIF('C2'!$B$6:$B$2228,B478,'C2'!$D$6:$D$2228)</f>
        <v>0</v>
      </c>
      <c r="G478" s="19">
        <f>SUMIF('C3'!$B$6:$B$2228,B478,'C3'!$D$6:$D$2228)</f>
        <v>0</v>
      </c>
      <c r="H478" s="22"/>
      <c r="I478" s="22"/>
      <c r="J478" s="4" t="s">
        <v>451</v>
      </c>
      <c r="K478" s="4" t="s">
        <v>452</v>
      </c>
    </row>
    <row r="479" spans="2:11">
      <c r="B479" s="1">
        <v>649</v>
      </c>
      <c r="C479" s="4" t="s">
        <v>503</v>
      </c>
      <c r="D479" s="19">
        <f t="shared" si="7"/>
        <v>0</v>
      </c>
      <c r="E479" s="19">
        <f>SUMIF('C1'!$B$6:$B$2228,B479,'C1'!$D$6:$D$2228)</f>
        <v>0</v>
      </c>
      <c r="F479" s="19">
        <f>SUMIF('C2'!$B$6:$B$2228,B479,'C2'!$D$6:$D$2228)</f>
        <v>0</v>
      </c>
      <c r="G479" s="19">
        <f>SUMIF('C3'!$B$6:$B$2228,B479,'C3'!$D$6:$D$2228)</f>
        <v>0</v>
      </c>
      <c r="H479" s="22"/>
      <c r="I479" s="22"/>
      <c r="J479" s="4" t="s">
        <v>451</v>
      </c>
      <c r="K479" s="4" t="s">
        <v>454</v>
      </c>
    </row>
    <row r="480" spans="2:11">
      <c r="B480" s="1">
        <v>650</v>
      </c>
      <c r="C480" s="4" t="s">
        <v>504</v>
      </c>
      <c r="D480" s="19">
        <f t="shared" si="7"/>
        <v>0</v>
      </c>
      <c r="E480" s="19">
        <f>SUMIF('C1'!$B$6:$B$2228,B480,'C1'!$D$6:$D$2228)</f>
        <v>0</v>
      </c>
      <c r="F480" s="19">
        <f>SUMIF('C2'!$B$6:$B$2228,B480,'C2'!$D$6:$D$2228)</f>
        <v>0</v>
      </c>
      <c r="G480" s="19">
        <f>SUMIF('C3'!$B$6:$B$2228,B480,'C3'!$D$6:$D$2228)</f>
        <v>0</v>
      </c>
      <c r="H480" s="22"/>
      <c r="I480" s="22"/>
      <c r="J480" s="4" t="s">
        <v>451</v>
      </c>
      <c r="K480" s="4" t="s">
        <v>452</v>
      </c>
    </row>
    <row r="481" spans="2:11">
      <c r="B481" s="1">
        <v>652</v>
      </c>
      <c r="C481" s="4" t="s">
        <v>505</v>
      </c>
      <c r="D481" s="19">
        <f t="shared" si="7"/>
        <v>0</v>
      </c>
      <c r="E481" s="19">
        <f>SUMIF('C1'!$B$6:$B$2228,B481,'C1'!$D$6:$D$2228)</f>
        <v>0</v>
      </c>
      <c r="F481" s="19">
        <f>SUMIF('C2'!$B$6:$B$2228,B481,'C2'!$D$6:$D$2228)</f>
        <v>0</v>
      </c>
      <c r="G481" s="19">
        <f>SUMIF('C3'!$B$6:$B$2228,B481,'C3'!$D$6:$D$2228)</f>
        <v>0</v>
      </c>
      <c r="H481" s="22"/>
      <c r="I481" s="22"/>
      <c r="J481" s="4" t="s">
        <v>451</v>
      </c>
      <c r="K481" s="4" t="s">
        <v>454</v>
      </c>
    </row>
    <row r="482" spans="2:11">
      <c r="B482" s="1">
        <v>653</v>
      </c>
      <c r="C482" s="4" t="s">
        <v>506</v>
      </c>
      <c r="D482" s="19">
        <f t="shared" si="7"/>
        <v>0</v>
      </c>
      <c r="E482" s="19">
        <f>SUMIF('C1'!$B$6:$B$2228,B482,'C1'!$D$6:$D$2228)</f>
        <v>0</v>
      </c>
      <c r="F482" s="19">
        <f>SUMIF('C2'!$B$6:$B$2228,B482,'C2'!$D$6:$D$2228)</f>
        <v>0</v>
      </c>
      <c r="G482" s="19">
        <f>SUMIF('C3'!$B$6:$B$2228,B482,'C3'!$D$6:$D$2228)</f>
        <v>0</v>
      </c>
      <c r="H482" s="22"/>
      <c r="I482" s="22"/>
      <c r="J482" s="4" t="s">
        <v>451</v>
      </c>
      <c r="K482" s="4" t="s">
        <v>454</v>
      </c>
    </row>
    <row r="483" spans="2:11">
      <c r="B483" s="1">
        <v>654</v>
      </c>
      <c r="C483" s="4" t="s">
        <v>507</v>
      </c>
      <c r="D483" s="19">
        <f t="shared" si="7"/>
        <v>0</v>
      </c>
      <c r="E483" s="19">
        <f>SUMIF('C1'!$B$6:$B$2228,B483,'C1'!$D$6:$D$2228)</f>
        <v>0</v>
      </c>
      <c r="F483" s="19">
        <f>SUMIF('C2'!$B$6:$B$2228,B483,'C2'!$D$6:$D$2228)</f>
        <v>0</v>
      </c>
      <c r="G483" s="19">
        <f>SUMIF('C3'!$B$6:$B$2228,B483,'C3'!$D$6:$D$2228)</f>
        <v>0</v>
      </c>
      <c r="H483" s="22"/>
      <c r="I483" s="22"/>
      <c r="J483" s="4" t="s">
        <v>451</v>
      </c>
      <c r="K483" s="4" t="s">
        <v>454</v>
      </c>
    </row>
    <row r="484" spans="2:11">
      <c r="B484" s="1">
        <v>655</v>
      </c>
      <c r="C484" s="4" t="s">
        <v>508</v>
      </c>
      <c r="D484" s="19">
        <f t="shared" si="7"/>
        <v>0</v>
      </c>
      <c r="E484" s="19">
        <f>SUMIF('C1'!$B$6:$B$2228,B484,'C1'!$D$6:$D$2228)</f>
        <v>0</v>
      </c>
      <c r="F484" s="19">
        <f>SUMIF('C2'!$B$6:$B$2228,B484,'C2'!$D$6:$D$2228)</f>
        <v>0</v>
      </c>
      <c r="G484" s="19">
        <f>SUMIF('C3'!$B$6:$B$2228,B484,'C3'!$D$6:$D$2228)</f>
        <v>0</v>
      </c>
      <c r="H484" s="22"/>
      <c r="I484" s="22"/>
      <c r="J484" s="4" t="s">
        <v>451</v>
      </c>
      <c r="K484" s="4" t="s">
        <v>454</v>
      </c>
    </row>
    <row r="485" spans="2:11">
      <c r="B485" s="1">
        <v>656</v>
      </c>
      <c r="C485" s="4" t="s">
        <v>509</v>
      </c>
      <c r="D485" s="19">
        <f t="shared" si="7"/>
        <v>0</v>
      </c>
      <c r="E485" s="19">
        <f>SUMIF('C1'!$B$6:$B$2228,B485,'C1'!$D$6:$D$2228)</f>
        <v>0</v>
      </c>
      <c r="F485" s="19">
        <f>SUMIF('C2'!$B$6:$B$2228,B485,'C2'!$D$6:$D$2228)</f>
        <v>0</v>
      </c>
      <c r="G485" s="19">
        <f>SUMIF('C3'!$B$6:$B$2228,B485,'C3'!$D$6:$D$2228)</f>
        <v>0</v>
      </c>
      <c r="H485" s="22"/>
      <c r="I485" s="22"/>
      <c r="J485" s="4" t="s">
        <v>451</v>
      </c>
      <c r="K485" s="4" t="s">
        <v>452</v>
      </c>
    </row>
    <row r="486" spans="2:11">
      <c r="B486" s="1">
        <v>657</v>
      </c>
      <c r="C486" s="4" t="s">
        <v>510</v>
      </c>
      <c r="D486" s="19">
        <f t="shared" si="7"/>
        <v>0</v>
      </c>
      <c r="E486" s="19">
        <f>SUMIF('C1'!$B$6:$B$2228,B486,'C1'!$D$6:$D$2228)</f>
        <v>0</v>
      </c>
      <c r="F486" s="19">
        <f>SUMIF('C2'!$B$6:$B$2228,B486,'C2'!$D$6:$D$2228)</f>
        <v>0</v>
      </c>
      <c r="G486" s="19">
        <f>SUMIF('C3'!$B$6:$B$2228,B486,'C3'!$D$6:$D$2228)</f>
        <v>0</v>
      </c>
      <c r="H486" s="22"/>
      <c r="I486" s="22"/>
      <c r="J486" s="4" t="s">
        <v>451</v>
      </c>
      <c r="K486" s="4" t="s">
        <v>452</v>
      </c>
    </row>
    <row r="487" spans="2:11">
      <c r="B487" s="1">
        <v>658</v>
      </c>
      <c r="C487" s="4" t="s">
        <v>511</v>
      </c>
      <c r="D487" s="19">
        <f t="shared" si="7"/>
        <v>0</v>
      </c>
      <c r="E487" s="19">
        <f>SUMIF('C1'!$B$6:$B$2228,B487,'C1'!$D$6:$D$2228)</f>
        <v>0</v>
      </c>
      <c r="F487" s="19">
        <f>SUMIF('C2'!$B$6:$B$2228,B487,'C2'!$D$6:$D$2228)</f>
        <v>0</v>
      </c>
      <c r="G487" s="19">
        <f>SUMIF('C3'!$B$6:$B$2228,B487,'C3'!$D$6:$D$2228)</f>
        <v>0</v>
      </c>
      <c r="H487" s="22"/>
      <c r="I487" s="22"/>
      <c r="J487" s="4" t="s">
        <v>451</v>
      </c>
      <c r="K487" s="4" t="s">
        <v>452</v>
      </c>
    </row>
    <row r="488" spans="2:11">
      <c r="B488" s="1">
        <v>659</v>
      </c>
      <c r="C488" s="4" t="s">
        <v>512</v>
      </c>
      <c r="D488" s="19">
        <f t="shared" si="7"/>
        <v>0</v>
      </c>
      <c r="E488" s="19">
        <f>SUMIF('C1'!$B$6:$B$2228,B488,'C1'!$D$6:$D$2228)</f>
        <v>0</v>
      </c>
      <c r="F488" s="19">
        <f>SUMIF('C2'!$B$6:$B$2228,B488,'C2'!$D$6:$D$2228)</f>
        <v>0</v>
      </c>
      <c r="G488" s="19">
        <f>SUMIF('C3'!$B$6:$B$2228,B488,'C3'!$D$6:$D$2228)</f>
        <v>0</v>
      </c>
      <c r="H488" s="22"/>
      <c r="I488" s="22"/>
      <c r="J488" s="4" t="s">
        <v>127</v>
      </c>
      <c r="K488" s="4" t="s">
        <v>128</v>
      </c>
    </row>
    <row r="489" spans="2:11">
      <c r="B489" s="1">
        <v>660</v>
      </c>
      <c r="C489" s="4" t="s">
        <v>513</v>
      </c>
      <c r="D489" s="19">
        <f t="shared" si="7"/>
        <v>0</v>
      </c>
      <c r="E489" s="19">
        <f>SUMIF('C1'!$B$6:$B$2228,B489,'C1'!$D$6:$D$2228)</f>
        <v>0</v>
      </c>
      <c r="F489" s="19">
        <f>SUMIF('C2'!$B$6:$B$2228,B489,'C2'!$D$6:$D$2228)</f>
        <v>0</v>
      </c>
      <c r="G489" s="19">
        <f>SUMIF('C3'!$B$6:$B$2228,B489,'C3'!$D$6:$D$2228)</f>
        <v>0</v>
      </c>
      <c r="H489" s="22"/>
      <c r="I489" s="22"/>
      <c r="J489" s="4" t="s">
        <v>127</v>
      </c>
      <c r="K489" s="4" t="s">
        <v>128</v>
      </c>
    </row>
    <row r="490" spans="2:11">
      <c r="B490" s="1">
        <v>661</v>
      </c>
      <c r="C490" s="4" t="s">
        <v>514</v>
      </c>
      <c r="D490" s="19">
        <f t="shared" si="7"/>
        <v>0</v>
      </c>
      <c r="E490" s="19">
        <f>SUMIF('C1'!$B$6:$B$2228,B490,'C1'!$D$6:$D$2228)</f>
        <v>0</v>
      </c>
      <c r="F490" s="19">
        <f>SUMIF('C2'!$B$6:$B$2228,B490,'C2'!$D$6:$D$2228)</f>
        <v>0</v>
      </c>
      <c r="G490" s="19">
        <f>SUMIF('C3'!$B$6:$B$2228,B490,'C3'!$D$6:$D$2228)</f>
        <v>0</v>
      </c>
      <c r="H490" s="22"/>
      <c r="I490" s="22"/>
      <c r="J490" s="4" t="s">
        <v>51</v>
      </c>
      <c r="K490" s="4" t="s">
        <v>52</v>
      </c>
    </row>
    <row r="491" spans="2:11">
      <c r="B491" s="1">
        <v>662</v>
      </c>
      <c r="C491" s="4" t="s">
        <v>515</v>
      </c>
      <c r="D491" s="19">
        <f t="shared" si="7"/>
        <v>0</v>
      </c>
      <c r="E491" s="19">
        <f>SUMIF('C1'!$B$6:$B$2228,B491,'C1'!$D$6:$D$2228)</f>
        <v>0</v>
      </c>
      <c r="F491" s="19">
        <f>SUMIF('C2'!$B$6:$B$2228,B491,'C2'!$D$6:$D$2228)</f>
        <v>0</v>
      </c>
      <c r="G491" s="19">
        <f>SUMIF('C3'!$B$6:$B$2228,B491,'C3'!$D$6:$D$2228)</f>
        <v>0</v>
      </c>
      <c r="H491" s="22"/>
      <c r="I491" s="22"/>
      <c r="J491" s="4" t="s">
        <v>12</v>
      </c>
      <c r="K491" s="4" t="s">
        <v>416</v>
      </c>
    </row>
    <row r="492" spans="2:11">
      <c r="B492" s="1">
        <v>663</v>
      </c>
      <c r="C492" s="4" t="s">
        <v>516</v>
      </c>
      <c r="D492" s="19">
        <f t="shared" si="7"/>
        <v>0</v>
      </c>
      <c r="E492" s="19">
        <f>SUMIF('C1'!$B$6:$B$2228,B492,'C1'!$D$6:$D$2228)</f>
        <v>0</v>
      </c>
      <c r="F492" s="19">
        <f>SUMIF('C2'!$B$6:$B$2228,B492,'C2'!$D$6:$D$2228)</f>
        <v>0</v>
      </c>
      <c r="G492" s="19">
        <f>SUMIF('C3'!$B$6:$B$2228,B492,'C3'!$D$6:$D$2228)</f>
        <v>0</v>
      </c>
      <c r="H492" s="22"/>
      <c r="I492" s="22"/>
      <c r="J492" s="4" t="s">
        <v>12</v>
      </c>
      <c r="K492" s="4" t="s">
        <v>416</v>
      </c>
    </row>
    <row r="493" spans="2:11">
      <c r="B493" s="1">
        <v>664</v>
      </c>
      <c r="C493" s="4" t="s">
        <v>517</v>
      </c>
      <c r="D493" s="19">
        <f t="shared" si="7"/>
        <v>625</v>
      </c>
      <c r="E493" s="19">
        <f>SUMIF('C1'!$B$6:$B$2228,B493,'C1'!$D$6:$D$2228)</f>
        <v>66</v>
      </c>
      <c r="F493" s="19">
        <f>SUMIF('C2'!$B$6:$B$2228,B493,'C2'!$D$6:$D$2228)</f>
        <v>548</v>
      </c>
      <c r="G493" s="19">
        <f>SUMIF('C3'!$B$6:$B$2228,B493,'C3'!$D$6:$D$2228)</f>
        <v>11</v>
      </c>
      <c r="H493" s="22"/>
      <c r="I493" s="22"/>
      <c r="J493" s="4" t="s">
        <v>51</v>
      </c>
      <c r="K493" s="4" t="s">
        <v>52</v>
      </c>
    </row>
    <row r="494" spans="2:11">
      <c r="B494" s="1">
        <v>665</v>
      </c>
      <c r="C494" s="4" t="s">
        <v>518</v>
      </c>
      <c r="D494" s="19">
        <f t="shared" si="7"/>
        <v>751</v>
      </c>
      <c r="E494" s="19">
        <f>SUMIF('C1'!$B$6:$B$2228,B494,'C1'!$D$6:$D$2228)</f>
        <v>0</v>
      </c>
      <c r="F494" s="19">
        <f>SUMIF('C2'!$B$6:$B$2228,B494,'C2'!$D$6:$D$2228)</f>
        <v>0</v>
      </c>
      <c r="G494" s="19">
        <f>SUMIF('C3'!$B$6:$B$2228,B494,'C3'!$D$6:$D$2228)</f>
        <v>751</v>
      </c>
      <c r="H494" s="22"/>
      <c r="I494" s="22"/>
      <c r="J494" s="4" t="s">
        <v>451</v>
      </c>
      <c r="K494" s="4" t="s">
        <v>454</v>
      </c>
    </row>
    <row r="495" spans="2:11">
      <c r="B495" s="1">
        <v>666</v>
      </c>
      <c r="C495" s="4" t="s">
        <v>519</v>
      </c>
      <c r="D495" s="19">
        <f t="shared" si="7"/>
        <v>0</v>
      </c>
      <c r="E495" s="19">
        <f>SUMIF('C1'!$B$6:$B$2228,B495,'C1'!$D$6:$D$2228)</f>
        <v>0</v>
      </c>
      <c r="F495" s="19">
        <f>SUMIF('C2'!$B$6:$B$2228,B495,'C2'!$D$6:$D$2228)</f>
        <v>0</v>
      </c>
      <c r="G495" s="19">
        <f>SUMIF('C3'!$B$6:$B$2228,B495,'C3'!$D$6:$D$2228)</f>
        <v>0</v>
      </c>
      <c r="H495" s="22"/>
      <c r="I495" s="22"/>
      <c r="J495" s="4" t="s">
        <v>12</v>
      </c>
      <c r="K495" s="4" t="s">
        <v>416</v>
      </c>
    </row>
    <row r="496" spans="2:11">
      <c r="B496" s="1">
        <v>667</v>
      </c>
      <c r="C496" s="4" t="s">
        <v>520</v>
      </c>
      <c r="D496" s="19">
        <f t="shared" si="7"/>
        <v>0</v>
      </c>
      <c r="E496" s="19">
        <f>SUMIF('C1'!$B$6:$B$2228,B496,'C1'!$D$6:$D$2228)</f>
        <v>0</v>
      </c>
      <c r="F496" s="19">
        <f>SUMIF('C2'!$B$6:$B$2228,B496,'C2'!$D$6:$D$2228)</f>
        <v>0</v>
      </c>
      <c r="G496" s="19">
        <f>SUMIF('C3'!$B$6:$B$2228,B496,'C3'!$D$6:$D$2228)</f>
        <v>0</v>
      </c>
      <c r="H496" s="22"/>
      <c r="I496" s="22"/>
      <c r="J496" s="4" t="s">
        <v>12</v>
      </c>
      <c r="K496" s="4" t="s">
        <v>13</v>
      </c>
    </row>
    <row r="497" spans="2:11">
      <c r="B497" s="1">
        <v>668</v>
      </c>
      <c r="C497" s="4" t="s">
        <v>521</v>
      </c>
      <c r="D497" s="19">
        <f t="shared" si="7"/>
        <v>0</v>
      </c>
      <c r="E497" s="19">
        <f>SUMIF('C1'!$B$6:$B$2228,B497,'C1'!$D$6:$D$2228)</f>
        <v>0</v>
      </c>
      <c r="F497" s="19">
        <f>SUMIF('C2'!$B$6:$B$2228,B497,'C2'!$D$6:$D$2228)</f>
        <v>0</v>
      </c>
      <c r="G497" s="19">
        <f>SUMIF('C3'!$B$6:$B$2228,B497,'C3'!$D$6:$D$2228)</f>
        <v>0</v>
      </c>
      <c r="H497" s="22"/>
      <c r="I497" s="22"/>
      <c r="J497" s="4" t="s">
        <v>12</v>
      </c>
      <c r="K497" s="4" t="s">
        <v>13</v>
      </c>
    </row>
    <row r="498" spans="2:11">
      <c r="B498" s="1">
        <v>669</v>
      </c>
      <c r="C498" s="4" t="s">
        <v>522</v>
      </c>
      <c r="D498" s="19">
        <f t="shared" si="7"/>
        <v>0</v>
      </c>
      <c r="E498" s="19">
        <f>SUMIF('C1'!$B$6:$B$2228,B498,'C1'!$D$6:$D$2228)</f>
        <v>0</v>
      </c>
      <c r="F498" s="19">
        <f>SUMIF('C2'!$B$6:$B$2228,B498,'C2'!$D$6:$D$2228)</f>
        <v>0</v>
      </c>
      <c r="G498" s="19">
        <f>SUMIF('C3'!$B$6:$B$2228,B498,'C3'!$D$6:$D$2228)</f>
        <v>0</v>
      </c>
      <c r="H498" s="22"/>
      <c r="I498" s="22"/>
      <c r="J498" s="4" t="s">
        <v>51</v>
      </c>
      <c r="K498" s="4" t="s">
        <v>52</v>
      </c>
    </row>
    <row r="499" spans="2:11">
      <c r="B499" s="1">
        <v>670</v>
      </c>
      <c r="C499" s="4" t="s">
        <v>523</v>
      </c>
      <c r="D499" s="19">
        <f t="shared" si="7"/>
        <v>0</v>
      </c>
      <c r="E499" s="19">
        <f>SUMIF('C1'!$B$6:$B$2228,B499,'C1'!$D$6:$D$2228)</f>
        <v>0</v>
      </c>
      <c r="F499" s="19">
        <f>SUMIF('C2'!$B$6:$B$2228,B499,'C2'!$D$6:$D$2228)</f>
        <v>0</v>
      </c>
      <c r="G499" s="19">
        <f>SUMIF('C3'!$B$6:$B$2228,B499,'C3'!$D$6:$D$2228)</f>
        <v>0</v>
      </c>
      <c r="H499" s="22"/>
      <c r="I499" s="22"/>
      <c r="J499" s="4" t="s">
        <v>51</v>
      </c>
      <c r="K499" s="4" t="s">
        <v>52</v>
      </c>
    </row>
    <row r="500" spans="2:11">
      <c r="B500" s="1">
        <v>671</v>
      </c>
      <c r="C500" s="4" t="s">
        <v>524</v>
      </c>
      <c r="D500" s="19">
        <f t="shared" si="7"/>
        <v>0</v>
      </c>
      <c r="E500" s="19">
        <f>SUMIF('C1'!$B$6:$B$2228,B500,'C1'!$D$6:$D$2228)</f>
        <v>0</v>
      </c>
      <c r="F500" s="19">
        <f>SUMIF('C2'!$B$6:$B$2228,B500,'C2'!$D$6:$D$2228)</f>
        <v>0</v>
      </c>
      <c r="G500" s="19">
        <f>SUMIF('C3'!$B$6:$B$2228,B500,'C3'!$D$6:$D$2228)</f>
        <v>0</v>
      </c>
      <c r="H500" s="22"/>
      <c r="I500" s="22"/>
      <c r="J500" s="4" t="s">
        <v>12</v>
      </c>
      <c r="K500" s="4" t="s">
        <v>88</v>
      </c>
    </row>
    <row r="501" spans="2:11">
      <c r="B501" s="1">
        <v>672</v>
      </c>
      <c r="C501" s="4" t="s">
        <v>525</v>
      </c>
      <c r="D501" s="19">
        <f t="shared" si="7"/>
        <v>0</v>
      </c>
      <c r="E501" s="19">
        <f>SUMIF('C1'!$B$6:$B$2228,B501,'C1'!$D$6:$D$2228)</f>
        <v>0</v>
      </c>
      <c r="F501" s="19">
        <f>SUMIF('C2'!$B$6:$B$2228,B501,'C2'!$D$6:$D$2228)</f>
        <v>0</v>
      </c>
      <c r="G501" s="19">
        <f>SUMIF('C3'!$B$6:$B$2228,B501,'C3'!$D$6:$D$2228)</f>
        <v>0</v>
      </c>
      <c r="H501" s="22"/>
      <c r="I501" s="22"/>
      <c r="J501" s="4" t="s">
        <v>12</v>
      </c>
      <c r="K501" s="4" t="s">
        <v>88</v>
      </c>
    </row>
    <row r="502" spans="2:11">
      <c r="B502" s="1">
        <v>673</v>
      </c>
      <c r="C502" s="4" t="s">
        <v>526</v>
      </c>
      <c r="D502" s="19">
        <f t="shared" si="7"/>
        <v>0</v>
      </c>
      <c r="E502" s="19">
        <f>SUMIF('C1'!$B$6:$B$2228,B502,'C1'!$D$6:$D$2228)</f>
        <v>0</v>
      </c>
      <c r="F502" s="19">
        <f>SUMIF('C2'!$B$6:$B$2228,B502,'C2'!$D$6:$D$2228)</f>
        <v>0</v>
      </c>
      <c r="G502" s="19">
        <f>SUMIF('C3'!$B$6:$B$2228,B502,'C3'!$D$6:$D$2228)</f>
        <v>0</v>
      </c>
      <c r="H502" s="22"/>
      <c r="I502" s="22"/>
      <c r="J502" s="4" t="s">
        <v>12</v>
      </c>
      <c r="K502" s="4" t="s">
        <v>88</v>
      </c>
    </row>
    <row r="503" spans="2:11">
      <c r="B503" s="1">
        <v>674</v>
      </c>
      <c r="C503" s="4" t="s">
        <v>527</v>
      </c>
      <c r="D503" s="19">
        <f t="shared" si="7"/>
        <v>0</v>
      </c>
      <c r="E503" s="19">
        <f>SUMIF('C1'!$B$6:$B$2228,B503,'C1'!$D$6:$D$2228)</f>
        <v>0</v>
      </c>
      <c r="F503" s="19">
        <f>SUMIF('C2'!$B$6:$B$2228,B503,'C2'!$D$6:$D$2228)</f>
        <v>0</v>
      </c>
      <c r="G503" s="19">
        <f>SUMIF('C3'!$B$6:$B$2228,B503,'C3'!$D$6:$D$2228)</f>
        <v>0</v>
      </c>
      <c r="H503" s="22"/>
      <c r="I503" s="22"/>
      <c r="J503" s="4" t="s">
        <v>12</v>
      </c>
      <c r="K503" s="4" t="s">
        <v>88</v>
      </c>
    </row>
    <row r="504" spans="2:11">
      <c r="B504" s="1">
        <v>675</v>
      </c>
      <c r="C504" s="4" t="s">
        <v>528</v>
      </c>
      <c r="D504" s="19">
        <f t="shared" si="7"/>
        <v>0</v>
      </c>
      <c r="E504" s="19">
        <f>SUMIF('C1'!$B$6:$B$2228,B504,'C1'!$D$6:$D$2228)</f>
        <v>0</v>
      </c>
      <c r="F504" s="19">
        <f>SUMIF('C2'!$B$6:$B$2228,B504,'C2'!$D$6:$D$2228)</f>
        <v>0</v>
      </c>
      <c r="G504" s="19">
        <f>SUMIF('C3'!$B$6:$B$2228,B504,'C3'!$D$6:$D$2228)</f>
        <v>0</v>
      </c>
      <c r="H504" s="22"/>
      <c r="I504" s="22"/>
      <c r="J504" s="4" t="s">
        <v>12</v>
      </c>
      <c r="K504" s="4" t="s">
        <v>88</v>
      </c>
    </row>
    <row r="505" spans="2:11">
      <c r="B505" s="1">
        <v>676</v>
      </c>
      <c r="C505" s="4" t="s">
        <v>529</v>
      </c>
      <c r="D505" s="19">
        <f t="shared" si="7"/>
        <v>0</v>
      </c>
      <c r="E505" s="19">
        <f>SUMIF('C1'!$B$6:$B$2228,B505,'C1'!$D$6:$D$2228)</f>
        <v>0</v>
      </c>
      <c r="F505" s="19">
        <f>SUMIF('C2'!$B$6:$B$2228,B505,'C2'!$D$6:$D$2228)</f>
        <v>0</v>
      </c>
      <c r="G505" s="19">
        <f>SUMIF('C3'!$B$6:$B$2228,B505,'C3'!$D$6:$D$2228)</f>
        <v>0</v>
      </c>
      <c r="H505" s="22"/>
      <c r="I505" s="22"/>
      <c r="J505" s="4" t="s">
        <v>12</v>
      </c>
      <c r="K505" s="4" t="s">
        <v>88</v>
      </c>
    </row>
    <row r="506" spans="2:11">
      <c r="B506" s="1">
        <v>677</v>
      </c>
      <c r="C506" s="4" t="s">
        <v>530</v>
      </c>
      <c r="D506" s="19">
        <f t="shared" si="7"/>
        <v>0</v>
      </c>
      <c r="E506" s="19">
        <f>SUMIF('C1'!$B$6:$B$2228,B506,'C1'!$D$6:$D$2228)</f>
        <v>0</v>
      </c>
      <c r="F506" s="19">
        <f>SUMIF('C2'!$B$6:$B$2228,B506,'C2'!$D$6:$D$2228)</f>
        <v>0</v>
      </c>
      <c r="G506" s="19">
        <f>SUMIF('C3'!$B$6:$B$2228,B506,'C3'!$D$6:$D$2228)</f>
        <v>0</v>
      </c>
      <c r="H506" s="22"/>
      <c r="I506" s="22"/>
      <c r="J506" s="4" t="s">
        <v>102</v>
      </c>
      <c r="K506" s="4" t="s">
        <v>106</v>
      </c>
    </row>
    <row r="507" spans="2:11">
      <c r="B507" s="1">
        <v>678</v>
      </c>
      <c r="C507" s="4" t="s">
        <v>531</v>
      </c>
      <c r="D507" s="19">
        <f t="shared" si="7"/>
        <v>0</v>
      </c>
      <c r="E507" s="19">
        <f>SUMIF('C1'!$B$6:$B$2228,B507,'C1'!$D$6:$D$2228)</f>
        <v>0</v>
      </c>
      <c r="F507" s="19">
        <f>SUMIF('C2'!$B$6:$B$2228,B507,'C2'!$D$6:$D$2228)</f>
        <v>0</v>
      </c>
      <c r="G507" s="19">
        <f>SUMIF('C3'!$B$6:$B$2228,B507,'C3'!$D$6:$D$2228)</f>
        <v>0</v>
      </c>
      <c r="H507" s="22"/>
      <c r="I507" s="22"/>
      <c r="J507" s="4" t="s">
        <v>12</v>
      </c>
      <c r="K507" s="4" t="s">
        <v>416</v>
      </c>
    </row>
    <row r="508" spans="2:11">
      <c r="B508" s="1">
        <v>679</v>
      </c>
      <c r="C508" s="4" t="s">
        <v>532</v>
      </c>
      <c r="D508" s="19">
        <f t="shared" si="7"/>
        <v>0</v>
      </c>
      <c r="E508" s="19">
        <f>SUMIF('C1'!$B$6:$B$2228,B508,'C1'!$D$6:$D$2228)</f>
        <v>0</v>
      </c>
      <c r="F508" s="19">
        <f>SUMIF('C2'!$B$6:$B$2228,B508,'C2'!$D$6:$D$2228)</f>
        <v>0</v>
      </c>
      <c r="G508" s="19">
        <f>SUMIF('C3'!$B$6:$B$2228,B508,'C3'!$D$6:$D$2228)</f>
        <v>0</v>
      </c>
      <c r="H508" s="22"/>
      <c r="I508" s="22"/>
      <c r="J508" s="4" t="s">
        <v>451</v>
      </c>
      <c r="K508" s="4" t="s">
        <v>454</v>
      </c>
    </row>
    <row r="509" spans="2:11">
      <c r="B509" s="1">
        <v>680</v>
      </c>
      <c r="C509" s="4" t="s">
        <v>533</v>
      </c>
      <c r="D509" s="19">
        <f t="shared" si="7"/>
        <v>0</v>
      </c>
      <c r="E509" s="19">
        <f>SUMIF('C1'!$B$6:$B$2228,B509,'C1'!$D$6:$D$2228)</f>
        <v>0</v>
      </c>
      <c r="F509" s="19">
        <f>SUMIF('C2'!$B$6:$B$2228,B509,'C2'!$D$6:$D$2228)</f>
        <v>0</v>
      </c>
      <c r="G509" s="19">
        <f>SUMIF('C3'!$B$6:$B$2228,B509,'C3'!$D$6:$D$2228)</f>
        <v>0</v>
      </c>
      <c r="H509" s="22"/>
      <c r="I509" s="22"/>
      <c r="J509" s="4" t="s">
        <v>451</v>
      </c>
      <c r="K509" s="4" t="s">
        <v>454</v>
      </c>
    </row>
    <row r="510" spans="2:11">
      <c r="B510" s="1">
        <v>681</v>
      </c>
      <c r="C510" s="4" t="s">
        <v>534</v>
      </c>
      <c r="D510" s="19">
        <f t="shared" si="7"/>
        <v>0</v>
      </c>
      <c r="E510" s="19">
        <f>SUMIF('C1'!$B$6:$B$2228,B510,'C1'!$D$6:$D$2228)</f>
        <v>0</v>
      </c>
      <c r="F510" s="19">
        <f>SUMIF('C2'!$B$6:$B$2228,B510,'C2'!$D$6:$D$2228)</f>
        <v>0</v>
      </c>
      <c r="G510" s="19">
        <f>SUMIF('C3'!$B$6:$B$2228,B510,'C3'!$D$6:$D$2228)</f>
        <v>0</v>
      </c>
      <c r="H510" s="22"/>
      <c r="I510" s="22"/>
      <c r="J510" s="4" t="s">
        <v>12</v>
      </c>
      <c r="K510" s="4" t="s">
        <v>416</v>
      </c>
    </row>
    <row r="511" spans="2:11">
      <c r="B511" s="1">
        <v>682</v>
      </c>
      <c r="C511" s="4" t="s">
        <v>535</v>
      </c>
      <c r="D511" s="19">
        <f t="shared" si="7"/>
        <v>0</v>
      </c>
      <c r="E511" s="19">
        <f>SUMIF('C1'!$B$6:$B$2228,B511,'C1'!$D$6:$D$2228)</f>
        <v>0</v>
      </c>
      <c r="F511" s="19">
        <f>SUMIF('C2'!$B$6:$B$2228,B511,'C2'!$D$6:$D$2228)</f>
        <v>0</v>
      </c>
      <c r="G511" s="19">
        <f>SUMIF('C3'!$B$6:$B$2228,B511,'C3'!$D$6:$D$2228)</f>
        <v>0</v>
      </c>
      <c r="H511" s="22"/>
      <c r="I511" s="22"/>
      <c r="J511" s="4" t="s">
        <v>12</v>
      </c>
      <c r="K511" s="4" t="s">
        <v>13</v>
      </c>
    </row>
    <row r="512" spans="2:11">
      <c r="B512" s="1">
        <v>683</v>
      </c>
      <c r="C512" s="4" t="s">
        <v>536</v>
      </c>
      <c r="D512" s="19">
        <f t="shared" si="7"/>
        <v>0</v>
      </c>
      <c r="E512" s="19">
        <f>SUMIF('C1'!$B$6:$B$2228,B512,'C1'!$D$6:$D$2228)</f>
        <v>0</v>
      </c>
      <c r="F512" s="19">
        <f>SUMIF('C2'!$B$6:$B$2228,B512,'C2'!$D$6:$D$2228)</f>
        <v>0</v>
      </c>
      <c r="G512" s="19">
        <f>SUMIF('C3'!$B$6:$B$2228,B512,'C3'!$D$6:$D$2228)</f>
        <v>0</v>
      </c>
      <c r="H512" s="22"/>
      <c r="I512" s="22"/>
      <c r="J512" s="4" t="s">
        <v>12</v>
      </c>
      <c r="K512" s="4" t="s">
        <v>13</v>
      </c>
    </row>
    <row r="513" spans="2:11">
      <c r="B513" s="1">
        <v>684</v>
      </c>
      <c r="C513" s="4" t="s">
        <v>537</v>
      </c>
      <c r="D513" s="19">
        <f t="shared" si="7"/>
        <v>0</v>
      </c>
      <c r="E513" s="19">
        <f>SUMIF('C1'!$B$6:$B$2228,B513,'C1'!$D$6:$D$2228)</f>
        <v>0</v>
      </c>
      <c r="F513" s="19">
        <f>SUMIF('C2'!$B$6:$B$2228,B513,'C2'!$D$6:$D$2228)</f>
        <v>0</v>
      </c>
      <c r="G513" s="19">
        <f>SUMIF('C3'!$B$6:$B$2228,B513,'C3'!$D$6:$D$2228)</f>
        <v>0</v>
      </c>
      <c r="H513" s="22"/>
      <c r="I513" s="22"/>
      <c r="J513" s="4" t="s">
        <v>102</v>
      </c>
      <c r="K513" s="4" t="s">
        <v>106</v>
      </c>
    </row>
    <row r="514" spans="2:11">
      <c r="B514" s="1">
        <v>685</v>
      </c>
      <c r="C514" s="4" t="s">
        <v>538</v>
      </c>
      <c r="D514" s="19">
        <f t="shared" si="7"/>
        <v>0</v>
      </c>
      <c r="E514" s="19">
        <f>SUMIF('C1'!$B$6:$B$2228,B514,'C1'!$D$6:$D$2228)</f>
        <v>0</v>
      </c>
      <c r="F514" s="19">
        <f>SUMIF('C2'!$B$6:$B$2228,B514,'C2'!$D$6:$D$2228)</f>
        <v>0</v>
      </c>
      <c r="G514" s="19">
        <f>SUMIF('C3'!$B$6:$B$2228,B514,'C3'!$D$6:$D$2228)</f>
        <v>0</v>
      </c>
      <c r="H514" s="22"/>
      <c r="I514" s="22"/>
      <c r="J514" s="4" t="s">
        <v>102</v>
      </c>
      <c r="K514" s="4" t="s">
        <v>106</v>
      </c>
    </row>
    <row r="515" spans="2:11">
      <c r="B515" s="1">
        <v>686</v>
      </c>
      <c r="C515" s="4" t="s">
        <v>539</v>
      </c>
      <c r="D515" s="19">
        <f t="shared" si="7"/>
        <v>0</v>
      </c>
      <c r="E515" s="19">
        <f>SUMIF('C1'!$B$6:$B$2228,B515,'C1'!$D$6:$D$2228)</f>
        <v>0</v>
      </c>
      <c r="F515" s="19">
        <f>SUMIF('C2'!$B$6:$B$2228,B515,'C2'!$D$6:$D$2228)</f>
        <v>0</v>
      </c>
      <c r="G515" s="19">
        <f>SUMIF('C3'!$B$6:$B$2228,B515,'C3'!$D$6:$D$2228)</f>
        <v>0</v>
      </c>
      <c r="H515" s="22"/>
      <c r="I515" s="22"/>
      <c r="J515" s="4" t="s">
        <v>451</v>
      </c>
      <c r="K515" s="4" t="s">
        <v>452</v>
      </c>
    </row>
    <row r="516" spans="2:11">
      <c r="B516" s="1">
        <v>687</v>
      </c>
      <c r="C516" s="4" t="s">
        <v>540</v>
      </c>
      <c r="D516" s="19">
        <f t="shared" si="7"/>
        <v>0</v>
      </c>
      <c r="E516" s="19">
        <f>SUMIF('C1'!$B$6:$B$2228,B516,'C1'!$D$6:$D$2228)</f>
        <v>0</v>
      </c>
      <c r="F516" s="19">
        <f>SUMIF('C2'!$B$6:$B$2228,B516,'C2'!$D$6:$D$2228)</f>
        <v>0</v>
      </c>
      <c r="G516" s="19">
        <f>SUMIF('C3'!$B$6:$B$2228,B516,'C3'!$D$6:$D$2228)</f>
        <v>0</v>
      </c>
      <c r="H516" s="22"/>
      <c r="I516" s="22"/>
      <c r="J516" s="4" t="s">
        <v>451</v>
      </c>
      <c r="K516" s="4" t="s">
        <v>454</v>
      </c>
    </row>
    <row r="517" spans="2:11">
      <c r="B517" s="1">
        <v>688</v>
      </c>
      <c r="C517" s="4" t="s">
        <v>541</v>
      </c>
      <c r="D517" s="19">
        <f t="shared" si="7"/>
        <v>0</v>
      </c>
      <c r="E517" s="19">
        <f>SUMIF('C1'!$B$6:$B$2228,B517,'C1'!$D$6:$D$2228)</f>
        <v>0</v>
      </c>
      <c r="F517" s="19">
        <f>SUMIF('C2'!$B$6:$B$2228,B517,'C2'!$D$6:$D$2228)</f>
        <v>0</v>
      </c>
      <c r="G517" s="19">
        <f>SUMIF('C3'!$B$6:$B$2228,B517,'C3'!$D$6:$D$2228)</f>
        <v>0</v>
      </c>
      <c r="H517" s="22"/>
      <c r="I517" s="22"/>
      <c r="J517" s="4" t="s">
        <v>102</v>
      </c>
      <c r="K517" s="4" t="s">
        <v>542</v>
      </c>
    </row>
    <row r="518" spans="2:11">
      <c r="B518" s="1">
        <v>689</v>
      </c>
      <c r="C518" s="4" t="s">
        <v>543</v>
      </c>
      <c r="D518" s="19">
        <f t="shared" si="7"/>
        <v>0</v>
      </c>
      <c r="E518" s="19">
        <f>SUMIF('C1'!$B$6:$B$2228,B518,'C1'!$D$6:$D$2228)</f>
        <v>0</v>
      </c>
      <c r="F518" s="19">
        <f>SUMIF('C2'!$B$6:$B$2228,B518,'C2'!$D$6:$D$2228)</f>
        <v>0</v>
      </c>
      <c r="G518" s="19">
        <f>SUMIF('C3'!$B$6:$B$2228,B518,'C3'!$D$6:$D$2228)</f>
        <v>0</v>
      </c>
      <c r="H518" s="22"/>
      <c r="I518" s="22"/>
      <c r="J518" s="4" t="s">
        <v>451</v>
      </c>
      <c r="K518" s="4" t="s">
        <v>452</v>
      </c>
    </row>
    <row r="519" spans="2:11">
      <c r="B519" s="1">
        <v>690</v>
      </c>
      <c r="C519" s="4" t="s">
        <v>544</v>
      </c>
      <c r="D519" s="19">
        <f t="shared" ref="D519:D582" si="8">SUM(E519:I519)</f>
        <v>0</v>
      </c>
      <c r="E519" s="19">
        <f>SUMIF('C1'!$B$6:$B$2228,B519,'C1'!$D$6:$D$2228)</f>
        <v>0</v>
      </c>
      <c r="F519" s="19">
        <f>SUMIF('C2'!$B$6:$B$2228,B519,'C2'!$D$6:$D$2228)</f>
        <v>0</v>
      </c>
      <c r="G519" s="19">
        <f>SUMIF('C3'!$B$6:$B$2228,B519,'C3'!$D$6:$D$2228)</f>
        <v>0</v>
      </c>
      <c r="H519" s="22"/>
      <c r="I519" s="22"/>
      <c r="J519" s="4" t="s">
        <v>102</v>
      </c>
      <c r="K519" s="4" t="s">
        <v>106</v>
      </c>
    </row>
    <row r="520" spans="2:11">
      <c r="B520" s="1">
        <v>691</v>
      </c>
      <c r="C520" s="4" t="s">
        <v>545</v>
      </c>
      <c r="D520" s="19">
        <f t="shared" si="8"/>
        <v>0</v>
      </c>
      <c r="E520" s="19">
        <f>SUMIF('C1'!$B$6:$B$2228,B520,'C1'!$D$6:$D$2228)</f>
        <v>0</v>
      </c>
      <c r="F520" s="19">
        <f>SUMIF('C2'!$B$6:$B$2228,B520,'C2'!$D$6:$D$2228)</f>
        <v>0</v>
      </c>
      <c r="G520" s="19">
        <f>SUMIF('C3'!$B$6:$B$2228,B520,'C3'!$D$6:$D$2228)</f>
        <v>0</v>
      </c>
      <c r="H520" s="22"/>
      <c r="I520" s="22"/>
      <c r="J520" s="4" t="s">
        <v>102</v>
      </c>
      <c r="K520" s="4" t="s">
        <v>106</v>
      </c>
    </row>
    <row r="521" spans="2:11">
      <c r="B521" s="1">
        <v>692</v>
      </c>
      <c r="C521" s="4" t="s">
        <v>546</v>
      </c>
      <c r="D521" s="19">
        <f t="shared" si="8"/>
        <v>0</v>
      </c>
      <c r="E521" s="19">
        <f>SUMIF('C1'!$B$6:$B$2228,B521,'C1'!$D$6:$D$2228)</f>
        <v>0</v>
      </c>
      <c r="F521" s="19">
        <f>SUMIF('C2'!$B$6:$B$2228,B521,'C2'!$D$6:$D$2228)</f>
        <v>0</v>
      </c>
      <c r="G521" s="19">
        <f>SUMIF('C3'!$B$6:$B$2228,B521,'C3'!$D$6:$D$2228)</f>
        <v>0</v>
      </c>
      <c r="H521" s="22"/>
      <c r="I521" s="22"/>
      <c r="J521" s="4" t="s">
        <v>451</v>
      </c>
      <c r="K521" s="4" t="s">
        <v>454</v>
      </c>
    </row>
    <row r="522" spans="2:11">
      <c r="B522" s="1">
        <v>693</v>
      </c>
      <c r="C522" s="4" t="s">
        <v>547</v>
      </c>
      <c r="D522" s="19">
        <f t="shared" si="8"/>
        <v>0</v>
      </c>
      <c r="E522" s="19">
        <f>SUMIF('C1'!$B$6:$B$2228,B522,'C1'!$D$6:$D$2228)</f>
        <v>0</v>
      </c>
      <c r="F522" s="19">
        <f>SUMIF('C2'!$B$6:$B$2228,B522,'C2'!$D$6:$D$2228)</f>
        <v>0</v>
      </c>
      <c r="G522" s="19">
        <f>SUMIF('C3'!$B$6:$B$2228,B522,'C3'!$D$6:$D$2228)</f>
        <v>0</v>
      </c>
      <c r="H522" s="22"/>
      <c r="I522" s="22"/>
      <c r="J522" s="4" t="s">
        <v>451</v>
      </c>
      <c r="K522" s="4" t="s">
        <v>454</v>
      </c>
    </row>
    <row r="523" spans="2:11">
      <c r="B523" s="1">
        <v>694</v>
      </c>
      <c r="C523" s="4" t="s">
        <v>548</v>
      </c>
      <c r="D523" s="19">
        <f t="shared" si="8"/>
        <v>0</v>
      </c>
      <c r="E523" s="19">
        <f>SUMIF('C1'!$B$6:$B$2228,B523,'C1'!$D$6:$D$2228)</f>
        <v>0</v>
      </c>
      <c r="F523" s="19">
        <f>SUMIF('C2'!$B$6:$B$2228,B523,'C2'!$D$6:$D$2228)</f>
        <v>0</v>
      </c>
      <c r="G523" s="19">
        <f>SUMIF('C3'!$B$6:$B$2228,B523,'C3'!$D$6:$D$2228)</f>
        <v>0</v>
      </c>
      <c r="H523" s="22"/>
      <c r="I523" s="22"/>
      <c r="J523" s="4" t="s">
        <v>51</v>
      </c>
      <c r="K523" s="4" t="s">
        <v>52</v>
      </c>
    </row>
    <row r="524" spans="2:11">
      <c r="B524" s="1">
        <v>695</v>
      </c>
      <c r="C524" s="4" t="s">
        <v>549</v>
      </c>
      <c r="D524" s="19">
        <f t="shared" si="8"/>
        <v>0</v>
      </c>
      <c r="E524" s="19">
        <f>SUMIF('C1'!$B$6:$B$2228,B524,'C1'!$D$6:$D$2228)</f>
        <v>0</v>
      </c>
      <c r="F524" s="19">
        <f>SUMIF('C2'!$B$6:$B$2228,B524,'C2'!$D$6:$D$2228)</f>
        <v>0</v>
      </c>
      <c r="G524" s="19">
        <f>SUMIF('C3'!$B$6:$B$2228,B524,'C3'!$D$6:$D$2228)</f>
        <v>0</v>
      </c>
      <c r="H524" s="22"/>
      <c r="I524" s="22"/>
      <c r="J524" s="4" t="s">
        <v>51</v>
      </c>
      <c r="K524" s="4" t="s">
        <v>52</v>
      </c>
    </row>
    <row r="525" spans="2:11">
      <c r="B525" s="1">
        <v>696</v>
      </c>
      <c r="C525" s="4" t="s">
        <v>550</v>
      </c>
      <c r="D525" s="19">
        <f t="shared" si="8"/>
        <v>80</v>
      </c>
      <c r="E525" s="19">
        <f>SUMIF('C1'!$B$6:$B$2228,B525,'C1'!$D$6:$D$2228)</f>
        <v>80</v>
      </c>
      <c r="F525" s="19">
        <f>SUMIF('C2'!$B$6:$B$2228,B525,'C2'!$D$6:$D$2228)</f>
        <v>0</v>
      </c>
      <c r="G525" s="19">
        <f>SUMIF('C3'!$B$6:$B$2228,B525,'C3'!$D$6:$D$2228)</f>
        <v>0</v>
      </c>
      <c r="H525" s="22"/>
      <c r="I525" s="22"/>
      <c r="J525" s="4" t="s">
        <v>12</v>
      </c>
      <c r="K525" s="4" t="s">
        <v>88</v>
      </c>
    </row>
    <row r="526" spans="2:11">
      <c r="B526" s="1">
        <v>697</v>
      </c>
      <c r="C526" s="4" t="s">
        <v>551</v>
      </c>
      <c r="D526" s="19">
        <f t="shared" si="8"/>
        <v>0</v>
      </c>
      <c r="E526" s="19">
        <f>SUMIF('C1'!$B$6:$B$2228,B526,'C1'!$D$6:$D$2228)</f>
        <v>0</v>
      </c>
      <c r="F526" s="19">
        <f>SUMIF('C2'!$B$6:$B$2228,B526,'C2'!$D$6:$D$2228)</f>
        <v>0</v>
      </c>
      <c r="G526" s="19">
        <f>SUMIF('C3'!$B$6:$B$2228,B526,'C3'!$D$6:$D$2228)</f>
        <v>0</v>
      </c>
      <c r="H526" s="22"/>
      <c r="I526" s="22"/>
      <c r="J526" s="4" t="s">
        <v>12</v>
      </c>
      <c r="K526" s="4" t="s">
        <v>88</v>
      </c>
    </row>
    <row r="527" spans="2:11">
      <c r="B527" s="1">
        <v>698</v>
      </c>
      <c r="C527" s="4" t="s">
        <v>552</v>
      </c>
      <c r="D527" s="19">
        <f t="shared" si="8"/>
        <v>0</v>
      </c>
      <c r="E527" s="19">
        <f>SUMIF('C1'!$B$6:$B$2228,B527,'C1'!$D$6:$D$2228)</f>
        <v>0</v>
      </c>
      <c r="F527" s="19">
        <f>SUMIF('C2'!$B$6:$B$2228,B527,'C2'!$D$6:$D$2228)</f>
        <v>0</v>
      </c>
      <c r="G527" s="19">
        <f>SUMIF('C3'!$B$6:$B$2228,B527,'C3'!$D$6:$D$2228)</f>
        <v>0</v>
      </c>
      <c r="H527" s="22"/>
      <c r="I527" s="22"/>
      <c r="J527" s="4" t="s">
        <v>102</v>
      </c>
      <c r="K527" s="4" t="s">
        <v>106</v>
      </c>
    </row>
    <row r="528" spans="2:11">
      <c r="B528" s="1">
        <v>699</v>
      </c>
      <c r="C528" s="4" t="s">
        <v>553</v>
      </c>
      <c r="D528" s="19">
        <f t="shared" si="8"/>
        <v>335</v>
      </c>
      <c r="E528" s="19">
        <f>SUMIF('C1'!$B$6:$B$2228,B528,'C1'!$D$6:$D$2228)</f>
        <v>0</v>
      </c>
      <c r="F528" s="19">
        <f>SUMIF('C2'!$B$6:$B$2228,B528,'C2'!$D$6:$D$2228)</f>
        <v>0</v>
      </c>
      <c r="G528" s="19">
        <f>SUMIF('C3'!$B$6:$B$2228,B528,'C3'!$D$6:$D$2228)</f>
        <v>335</v>
      </c>
      <c r="H528" s="22"/>
      <c r="I528" s="22"/>
      <c r="J528" s="4" t="s">
        <v>51</v>
      </c>
      <c r="K528" s="4" t="s">
        <v>52</v>
      </c>
    </row>
    <row r="529" spans="2:11">
      <c r="B529" s="1">
        <v>700</v>
      </c>
      <c r="C529" s="4" t="s">
        <v>554</v>
      </c>
      <c r="D529" s="19">
        <f t="shared" si="8"/>
        <v>0</v>
      </c>
      <c r="E529" s="19">
        <f>SUMIF('C1'!$B$6:$B$2228,B529,'C1'!$D$6:$D$2228)</f>
        <v>0</v>
      </c>
      <c r="F529" s="19">
        <f>SUMIF('C2'!$B$6:$B$2228,B529,'C2'!$D$6:$D$2228)</f>
        <v>0</v>
      </c>
      <c r="G529" s="19">
        <f>SUMIF('C3'!$B$6:$B$2228,B529,'C3'!$D$6:$D$2228)</f>
        <v>0</v>
      </c>
      <c r="H529" s="22"/>
      <c r="I529" s="22"/>
      <c r="J529" s="4" t="s">
        <v>102</v>
      </c>
      <c r="K529" s="4" t="s">
        <v>106</v>
      </c>
    </row>
    <row r="530" spans="2:11">
      <c r="B530" s="1">
        <v>701</v>
      </c>
      <c r="C530" s="4" t="s">
        <v>555</v>
      </c>
      <c r="D530" s="19">
        <f t="shared" si="8"/>
        <v>0</v>
      </c>
      <c r="E530" s="19">
        <f>SUMIF('C1'!$B$6:$B$2228,B530,'C1'!$D$6:$D$2228)</f>
        <v>0</v>
      </c>
      <c r="F530" s="19">
        <f>SUMIF('C2'!$B$6:$B$2228,B530,'C2'!$D$6:$D$2228)</f>
        <v>0</v>
      </c>
      <c r="G530" s="19">
        <f>SUMIF('C3'!$B$6:$B$2228,B530,'C3'!$D$6:$D$2228)</f>
        <v>0</v>
      </c>
      <c r="H530" s="22"/>
      <c r="I530" s="22"/>
      <c r="J530" s="4" t="s">
        <v>102</v>
      </c>
      <c r="K530" s="4" t="s">
        <v>106</v>
      </c>
    </row>
    <row r="531" spans="2:11">
      <c r="B531" s="1">
        <v>702</v>
      </c>
      <c r="C531" s="4" t="s">
        <v>556</v>
      </c>
      <c r="D531" s="19">
        <f t="shared" si="8"/>
        <v>0</v>
      </c>
      <c r="E531" s="19">
        <f>SUMIF('C1'!$B$6:$B$2228,B531,'C1'!$D$6:$D$2228)</f>
        <v>0</v>
      </c>
      <c r="F531" s="19">
        <f>SUMIF('C2'!$B$6:$B$2228,B531,'C2'!$D$6:$D$2228)</f>
        <v>0</v>
      </c>
      <c r="G531" s="19">
        <f>SUMIF('C3'!$B$6:$B$2228,B531,'C3'!$D$6:$D$2228)</f>
        <v>0</v>
      </c>
      <c r="H531" s="22"/>
      <c r="I531" s="22"/>
      <c r="J531" s="4" t="s">
        <v>102</v>
      </c>
      <c r="K531" s="4" t="s">
        <v>106</v>
      </c>
    </row>
    <row r="532" spans="2:11">
      <c r="B532" s="1">
        <v>703</v>
      </c>
      <c r="C532" s="4" t="s">
        <v>557</v>
      </c>
      <c r="D532" s="19">
        <f t="shared" si="8"/>
        <v>0</v>
      </c>
      <c r="E532" s="19">
        <f>SUMIF('C1'!$B$6:$B$2228,B532,'C1'!$D$6:$D$2228)</f>
        <v>0</v>
      </c>
      <c r="F532" s="19">
        <f>SUMIF('C2'!$B$6:$B$2228,B532,'C2'!$D$6:$D$2228)</f>
        <v>0</v>
      </c>
      <c r="G532" s="19">
        <f>SUMIF('C3'!$B$6:$B$2228,B532,'C3'!$D$6:$D$2228)</f>
        <v>0</v>
      </c>
      <c r="H532" s="22"/>
      <c r="I532" s="22"/>
      <c r="J532" s="4" t="s">
        <v>51</v>
      </c>
      <c r="K532" s="4" t="s">
        <v>52</v>
      </c>
    </row>
    <row r="533" spans="2:11">
      <c r="B533" s="1">
        <v>704</v>
      </c>
      <c r="C533" s="4" t="s">
        <v>558</v>
      </c>
      <c r="D533" s="19">
        <f t="shared" si="8"/>
        <v>0</v>
      </c>
      <c r="E533" s="19">
        <f>SUMIF('C1'!$B$6:$B$2228,B533,'C1'!$D$6:$D$2228)</f>
        <v>0</v>
      </c>
      <c r="F533" s="19">
        <f>SUMIF('C2'!$B$6:$B$2228,B533,'C2'!$D$6:$D$2228)</f>
        <v>0</v>
      </c>
      <c r="G533" s="19">
        <f>SUMIF('C3'!$B$6:$B$2228,B533,'C3'!$D$6:$D$2228)</f>
        <v>0</v>
      </c>
      <c r="H533" s="22"/>
      <c r="I533" s="22"/>
      <c r="J533" s="4" t="s">
        <v>51</v>
      </c>
      <c r="K533" s="4" t="s">
        <v>52</v>
      </c>
    </row>
    <row r="534" spans="2:11">
      <c r="B534" s="1">
        <v>705</v>
      </c>
      <c r="C534" s="4" t="s">
        <v>559</v>
      </c>
      <c r="D534" s="19">
        <f t="shared" si="8"/>
        <v>0</v>
      </c>
      <c r="E534" s="19">
        <f>SUMIF('C1'!$B$6:$B$2228,B534,'C1'!$D$6:$D$2228)</f>
        <v>0</v>
      </c>
      <c r="F534" s="19">
        <f>SUMIF('C2'!$B$6:$B$2228,B534,'C2'!$D$6:$D$2228)</f>
        <v>0</v>
      </c>
      <c r="G534" s="19">
        <f>SUMIF('C3'!$B$6:$B$2228,B534,'C3'!$D$6:$D$2228)</f>
        <v>0</v>
      </c>
      <c r="H534" s="22"/>
      <c r="I534" s="22"/>
      <c r="J534" s="4" t="s">
        <v>102</v>
      </c>
      <c r="K534" s="4" t="s">
        <v>416</v>
      </c>
    </row>
    <row r="535" spans="2:11">
      <c r="B535" s="1">
        <v>706</v>
      </c>
      <c r="C535" s="4" t="s">
        <v>560</v>
      </c>
      <c r="D535" s="19">
        <f t="shared" si="8"/>
        <v>759</v>
      </c>
      <c r="E535" s="19">
        <f>SUMIF('C1'!$B$6:$B$2228,B535,'C1'!$D$6:$D$2228)</f>
        <v>645</v>
      </c>
      <c r="F535" s="19">
        <f>SUMIF('C2'!$B$6:$B$2228,B535,'C2'!$D$6:$D$2228)</f>
        <v>0</v>
      </c>
      <c r="G535" s="19">
        <f>SUMIF('C3'!$B$6:$B$2228,B535,'C3'!$D$6:$D$2228)</f>
        <v>114</v>
      </c>
      <c r="H535" s="22"/>
      <c r="I535" s="22"/>
      <c r="J535" s="4" t="s">
        <v>102</v>
      </c>
      <c r="K535" s="4" t="s">
        <v>416</v>
      </c>
    </row>
    <row r="536" spans="2:11">
      <c r="B536" s="1">
        <v>707</v>
      </c>
      <c r="C536" s="4" t="s">
        <v>561</v>
      </c>
      <c r="D536" s="19">
        <f t="shared" si="8"/>
        <v>0</v>
      </c>
      <c r="E536" s="19">
        <f>SUMIF('C1'!$B$6:$B$2228,B536,'C1'!$D$6:$D$2228)</f>
        <v>0</v>
      </c>
      <c r="F536" s="19">
        <f>SUMIF('C2'!$B$6:$B$2228,B536,'C2'!$D$6:$D$2228)</f>
        <v>0</v>
      </c>
      <c r="G536" s="19">
        <f>SUMIF('C3'!$B$6:$B$2228,B536,'C3'!$D$6:$D$2228)</f>
        <v>0</v>
      </c>
      <c r="H536" s="22"/>
      <c r="I536" s="22"/>
      <c r="J536" s="4" t="s">
        <v>451</v>
      </c>
      <c r="K536" s="4" t="s">
        <v>454</v>
      </c>
    </row>
    <row r="537" spans="2:11">
      <c r="B537" s="1">
        <v>708</v>
      </c>
      <c r="C537" s="4" t="s">
        <v>562</v>
      </c>
      <c r="D537" s="19">
        <f t="shared" si="8"/>
        <v>0</v>
      </c>
      <c r="E537" s="19">
        <f>SUMIF('C1'!$B$6:$B$2228,B537,'C1'!$D$6:$D$2228)</f>
        <v>0</v>
      </c>
      <c r="F537" s="19">
        <f>SUMIF('C2'!$B$6:$B$2228,B537,'C2'!$D$6:$D$2228)</f>
        <v>0</v>
      </c>
      <c r="G537" s="19">
        <f>SUMIF('C3'!$B$6:$B$2228,B537,'C3'!$D$6:$D$2228)</f>
        <v>0</v>
      </c>
      <c r="H537" s="22"/>
      <c r="I537" s="22"/>
      <c r="J537" s="4" t="s">
        <v>451</v>
      </c>
      <c r="K537" s="4" t="s">
        <v>454</v>
      </c>
    </row>
    <row r="538" spans="2:11">
      <c r="B538" s="1">
        <v>709</v>
      </c>
      <c r="C538" s="4" t="s">
        <v>563</v>
      </c>
      <c r="D538" s="19">
        <f t="shared" si="8"/>
        <v>0</v>
      </c>
      <c r="E538" s="19">
        <f>SUMIF('C1'!$B$6:$B$2228,B538,'C1'!$D$6:$D$2228)</f>
        <v>0</v>
      </c>
      <c r="F538" s="19">
        <f>SUMIF('C2'!$B$6:$B$2228,B538,'C2'!$D$6:$D$2228)</f>
        <v>0</v>
      </c>
      <c r="G538" s="19">
        <f>SUMIF('C3'!$B$6:$B$2228,B538,'C3'!$D$6:$D$2228)</f>
        <v>0</v>
      </c>
      <c r="H538" s="22"/>
      <c r="I538" s="22"/>
      <c r="J538" s="4" t="s">
        <v>127</v>
      </c>
      <c r="K538" s="4" t="s">
        <v>148</v>
      </c>
    </row>
    <row r="539" spans="2:11">
      <c r="B539" s="1">
        <v>710</v>
      </c>
      <c r="C539" s="4" t="s">
        <v>564</v>
      </c>
      <c r="D539" s="19">
        <f t="shared" si="8"/>
        <v>0</v>
      </c>
      <c r="E539" s="19">
        <f>SUMIF('C1'!$B$6:$B$2228,B539,'C1'!$D$6:$D$2228)</f>
        <v>0</v>
      </c>
      <c r="F539" s="19">
        <f>SUMIF('C2'!$B$6:$B$2228,B539,'C2'!$D$6:$D$2228)</f>
        <v>0</v>
      </c>
      <c r="G539" s="19">
        <f>SUMIF('C3'!$B$6:$B$2228,B539,'C3'!$D$6:$D$2228)</f>
        <v>0</v>
      </c>
      <c r="H539" s="22"/>
      <c r="I539" s="22"/>
      <c r="J539" s="4" t="s">
        <v>451</v>
      </c>
      <c r="K539" s="4" t="s">
        <v>452</v>
      </c>
    </row>
    <row r="540" spans="2:11">
      <c r="B540" s="1">
        <v>711</v>
      </c>
      <c r="C540" s="4" t="s">
        <v>565</v>
      </c>
      <c r="D540" s="19">
        <f t="shared" si="8"/>
        <v>6000</v>
      </c>
      <c r="E540" s="19">
        <f>SUMIF('C1'!$B$6:$B$2228,B540,'C1'!$D$6:$D$2228)</f>
        <v>0</v>
      </c>
      <c r="F540" s="19">
        <f>SUMIF('C2'!$B$6:$B$2228,B540,'C2'!$D$6:$D$2228)</f>
        <v>6000</v>
      </c>
      <c r="G540" s="19">
        <f>SUMIF('C3'!$B$6:$B$2228,B540,'C3'!$D$6:$D$2228)</f>
        <v>0</v>
      </c>
      <c r="H540" s="22"/>
      <c r="I540" s="22"/>
      <c r="J540" s="4" t="s">
        <v>102</v>
      </c>
      <c r="K540" s="4" t="s">
        <v>103</v>
      </c>
    </row>
    <row r="541" spans="2:11">
      <c r="B541" s="1">
        <v>1000</v>
      </c>
      <c r="C541" s="4" t="s">
        <v>566</v>
      </c>
      <c r="D541" s="19">
        <f t="shared" si="8"/>
        <v>0</v>
      </c>
      <c r="E541" s="19">
        <f>SUMIF('C1'!$B$6:$B$2228,B541,'C1'!$D$6:$D$2228)</f>
        <v>0</v>
      </c>
      <c r="F541" s="19">
        <f>SUMIF('C2'!$B$6:$B$2228,B541,'C2'!$D$6:$D$2228)</f>
        <v>0</v>
      </c>
      <c r="G541" s="19">
        <f>SUMIF('C3'!$B$6:$B$2228,B541,'C3'!$D$6:$D$2228)</f>
        <v>0</v>
      </c>
      <c r="H541" s="22"/>
      <c r="I541" s="22"/>
      <c r="J541" s="4" t="s">
        <v>16</v>
      </c>
      <c r="K541" s="4" t="s">
        <v>567</v>
      </c>
    </row>
    <row r="542" spans="2:11">
      <c r="B542" s="1">
        <v>1001</v>
      </c>
      <c r="C542" s="4" t="s">
        <v>568</v>
      </c>
      <c r="D542" s="19">
        <f t="shared" si="8"/>
        <v>0</v>
      </c>
      <c r="E542" s="19">
        <f>SUMIF('C1'!$B$6:$B$2228,B542,'C1'!$D$6:$D$2228)</f>
        <v>0</v>
      </c>
      <c r="F542" s="19">
        <f>SUMIF('C2'!$B$6:$B$2228,B542,'C2'!$D$6:$D$2228)</f>
        <v>0</v>
      </c>
      <c r="G542" s="19">
        <f>SUMIF('C3'!$B$6:$B$2228,B542,'C3'!$D$6:$D$2228)</f>
        <v>0</v>
      </c>
      <c r="H542" s="22"/>
      <c r="I542" s="22"/>
      <c r="J542" s="4" t="s">
        <v>16</v>
      </c>
      <c r="K542" s="4" t="s">
        <v>567</v>
      </c>
    </row>
    <row r="543" spans="2:11">
      <c r="B543" s="1">
        <v>1000</v>
      </c>
      <c r="C543" s="4" t="s">
        <v>569</v>
      </c>
      <c r="D543" s="19">
        <f t="shared" si="8"/>
        <v>0</v>
      </c>
      <c r="E543" s="19">
        <f>SUMIF('C1'!$B$6:$B$2228,B543,'C1'!$D$6:$D$2228)</f>
        <v>0</v>
      </c>
      <c r="F543" s="19">
        <f>SUMIF('C2'!$B$6:$B$2228,B543,'C2'!$D$6:$D$2228)</f>
        <v>0</v>
      </c>
      <c r="G543" s="19">
        <f>SUMIF('C3'!$B$6:$B$2228,B543,'C3'!$D$6:$D$2228)</f>
        <v>0</v>
      </c>
      <c r="H543" s="22"/>
      <c r="I543" s="22"/>
      <c r="J543" s="4" t="s">
        <v>570</v>
      </c>
      <c r="K543" s="4" t="s">
        <v>571</v>
      </c>
    </row>
    <row r="544" spans="2:11">
      <c r="B544" s="1">
        <v>1001</v>
      </c>
      <c r="C544" s="4" t="s">
        <v>572</v>
      </c>
      <c r="D544" s="19">
        <f t="shared" si="8"/>
        <v>0</v>
      </c>
      <c r="E544" s="19">
        <f>SUMIF('C1'!$B$6:$B$2228,B544,'C1'!$D$6:$D$2228)</f>
        <v>0</v>
      </c>
      <c r="F544" s="19">
        <f>SUMIF('C2'!$B$6:$B$2228,B544,'C2'!$D$6:$D$2228)</f>
        <v>0</v>
      </c>
      <c r="G544" s="19">
        <f>SUMIF('C3'!$B$6:$B$2228,B544,'C3'!$D$6:$D$2228)</f>
        <v>0</v>
      </c>
      <c r="H544" s="22"/>
      <c r="I544" s="22"/>
      <c r="J544" s="4" t="s">
        <v>570</v>
      </c>
      <c r="K544" s="4" t="s">
        <v>571</v>
      </c>
    </row>
    <row r="545" spans="2:11">
      <c r="B545" s="1">
        <v>1002</v>
      </c>
      <c r="C545" s="4" t="s">
        <v>573</v>
      </c>
      <c r="D545" s="19">
        <f t="shared" si="8"/>
        <v>0</v>
      </c>
      <c r="E545" s="19">
        <f>SUMIF('C1'!$B$6:$B$2228,B545,'C1'!$D$6:$D$2228)</f>
        <v>0</v>
      </c>
      <c r="F545" s="19">
        <f>SUMIF('C2'!$B$6:$B$2228,B545,'C2'!$D$6:$D$2228)</f>
        <v>0</v>
      </c>
      <c r="G545" s="19">
        <f>SUMIF('C3'!$B$6:$B$2228,B545,'C3'!$D$6:$D$2228)</f>
        <v>0</v>
      </c>
      <c r="H545" s="22"/>
      <c r="I545" s="22"/>
      <c r="J545" s="4" t="s">
        <v>570</v>
      </c>
      <c r="K545" s="4" t="s">
        <v>571</v>
      </c>
    </row>
    <row r="546" spans="2:11">
      <c r="B546" s="1">
        <v>1003</v>
      </c>
      <c r="C546" s="4" t="s">
        <v>574</v>
      </c>
      <c r="D546" s="19">
        <f t="shared" si="8"/>
        <v>0</v>
      </c>
      <c r="E546" s="19">
        <f>SUMIF('C1'!$B$6:$B$2228,B546,'C1'!$D$6:$D$2228)</f>
        <v>0</v>
      </c>
      <c r="F546" s="19">
        <f>SUMIF('C2'!$B$6:$B$2228,B546,'C2'!$D$6:$D$2228)</f>
        <v>0</v>
      </c>
      <c r="G546" s="19">
        <f>SUMIF('C3'!$B$6:$B$2228,B546,'C3'!$D$6:$D$2228)</f>
        <v>0</v>
      </c>
      <c r="H546" s="22"/>
      <c r="I546" s="22"/>
      <c r="J546" s="4" t="s">
        <v>570</v>
      </c>
      <c r="K546" s="4" t="s">
        <v>571</v>
      </c>
    </row>
    <row r="547" spans="2:11">
      <c r="B547" s="1">
        <v>1004</v>
      </c>
      <c r="C547" s="4" t="s">
        <v>575</v>
      </c>
      <c r="D547" s="19">
        <f t="shared" si="8"/>
        <v>0</v>
      </c>
      <c r="E547" s="19">
        <f>SUMIF('C1'!$B$6:$B$2228,B547,'C1'!$D$6:$D$2228)</f>
        <v>0</v>
      </c>
      <c r="F547" s="19">
        <f>SUMIF('C2'!$B$6:$B$2228,B547,'C2'!$D$6:$D$2228)</f>
        <v>0</v>
      </c>
      <c r="G547" s="19">
        <f>SUMIF('C3'!$B$6:$B$2228,B547,'C3'!$D$6:$D$2228)</f>
        <v>0</v>
      </c>
      <c r="H547" s="22"/>
      <c r="I547" s="22"/>
      <c r="J547" s="4" t="s">
        <v>570</v>
      </c>
      <c r="K547" s="4" t="s">
        <v>571</v>
      </c>
    </row>
    <row r="548" spans="2:11">
      <c r="B548" s="1">
        <v>1005</v>
      </c>
      <c r="C548" s="4" t="s">
        <v>576</v>
      </c>
      <c r="D548" s="19">
        <f t="shared" si="8"/>
        <v>0</v>
      </c>
      <c r="E548" s="19">
        <f>SUMIF('C1'!$B$6:$B$2228,B548,'C1'!$D$6:$D$2228)</f>
        <v>0</v>
      </c>
      <c r="F548" s="19">
        <f>SUMIF('C2'!$B$6:$B$2228,B548,'C2'!$D$6:$D$2228)</f>
        <v>0</v>
      </c>
      <c r="G548" s="19">
        <f>SUMIF('C3'!$B$6:$B$2228,B548,'C3'!$D$6:$D$2228)</f>
        <v>0</v>
      </c>
      <c r="H548" s="22"/>
      <c r="I548" s="22"/>
      <c r="J548" s="4" t="s">
        <v>570</v>
      </c>
      <c r="K548" s="4" t="s">
        <v>571</v>
      </c>
    </row>
    <row r="549" spans="2:11">
      <c r="B549" s="1">
        <v>1006</v>
      </c>
      <c r="C549" s="4" t="s">
        <v>577</v>
      </c>
      <c r="D549" s="19">
        <f t="shared" si="8"/>
        <v>0</v>
      </c>
      <c r="E549" s="19">
        <f>SUMIF('C1'!$B$6:$B$2228,B549,'C1'!$D$6:$D$2228)</f>
        <v>0</v>
      </c>
      <c r="F549" s="19">
        <f>SUMIF('C2'!$B$6:$B$2228,B549,'C2'!$D$6:$D$2228)</f>
        <v>0</v>
      </c>
      <c r="G549" s="19">
        <f>SUMIF('C3'!$B$6:$B$2228,B549,'C3'!$D$6:$D$2228)</f>
        <v>0</v>
      </c>
      <c r="H549" s="22"/>
      <c r="I549" s="22"/>
      <c r="J549" s="4" t="s">
        <v>570</v>
      </c>
      <c r="K549" s="4" t="s">
        <v>571</v>
      </c>
    </row>
    <row r="550" spans="2:11">
      <c r="B550" s="1">
        <v>1007</v>
      </c>
      <c r="C550" s="4" t="s">
        <v>578</v>
      </c>
      <c r="D550" s="19">
        <f t="shared" si="8"/>
        <v>0</v>
      </c>
      <c r="E550" s="19">
        <f>SUMIF('C1'!$B$6:$B$2228,B550,'C1'!$D$6:$D$2228)</f>
        <v>0</v>
      </c>
      <c r="F550" s="19">
        <f>SUMIF('C2'!$B$6:$B$2228,B550,'C2'!$D$6:$D$2228)</f>
        <v>0</v>
      </c>
      <c r="G550" s="19">
        <f>SUMIF('C3'!$B$6:$B$2228,B550,'C3'!$D$6:$D$2228)</f>
        <v>0</v>
      </c>
      <c r="H550" s="22"/>
      <c r="I550" s="22"/>
      <c r="J550" s="4" t="s">
        <v>570</v>
      </c>
      <c r="K550" s="4" t="s">
        <v>571</v>
      </c>
    </row>
    <row r="551" spans="2:11">
      <c r="B551" s="1">
        <v>1008</v>
      </c>
      <c r="C551" s="4" t="s">
        <v>579</v>
      </c>
      <c r="D551" s="19">
        <f t="shared" si="8"/>
        <v>0</v>
      </c>
      <c r="E551" s="19">
        <f>SUMIF('C1'!$B$6:$B$2228,B551,'C1'!$D$6:$D$2228)</f>
        <v>0</v>
      </c>
      <c r="F551" s="19">
        <f>SUMIF('C2'!$B$6:$B$2228,B551,'C2'!$D$6:$D$2228)</f>
        <v>0</v>
      </c>
      <c r="G551" s="19">
        <f>SUMIF('C3'!$B$6:$B$2228,B551,'C3'!$D$6:$D$2228)</f>
        <v>0</v>
      </c>
      <c r="H551" s="22"/>
      <c r="I551" s="22"/>
      <c r="J551" s="4" t="s">
        <v>570</v>
      </c>
      <c r="K551" s="4" t="s">
        <v>571</v>
      </c>
    </row>
    <row r="552" spans="2:11">
      <c r="B552" s="1">
        <v>1009</v>
      </c>
      <c r="C552" s="4" t="s">
        <v>580</v>
      </c>
      <c r="D552" s="19">
        <f t="shared" si="8"/>
        <v>0</v>
      </c>
      <c r="E552" s="19">
        <f>SUMIF('C1'!$B$6:$B$2228,B552,'C1'!$D$6:$D$2228)</f>
        <v>0</v>
      </c>
      <c r="F552" s="19">
        <f>SUMIF('C2'!$B$6:$B$2228,B552,'C2'!$D$6:$D$2228)</f>
        <v>0</v>
      </c>
      <c r="G552" s="19">
        <f>SUMIF('C3'!$B$6:$B$2228,B552,'C3'!$D$6:$D$2228)</f>
        <v>0</v>
      </c>
      <c r="H552" s="22"/>
      <c r="I552" s="22"/>
      <c r="J552" s="4" t="s">
        <v>570</v>
      </c>
      <c r="K552" s="4" t="s">
        <v>571</v>
      </c>
    </row>
    <row r="553" spans="2:11">
      <c r="B553" s="1">
        <v>1010</v>
      </c>
      <c r="C553" s="4" t="s">
        <v>581</v>
      </c>
      <c r="D553" s="19">
        <f t="shared" si="8"/>
        <v>0</v>
      </c>
      <c r="E553" s="19">
        <f>SUMIF('C1'!$B$6:$B$2228,B553,'C1'!$D$6:$D$2228)</f>
        <v>0</v>
      </c>
      <c r="F553" s="19">
        <f>SUMIF('C2'!$B$6:$B$2228,B553,'C2'!$D$6:$D$2228)</f>
        <v>0</v>
      </c>
      <c r="G553" s="19">
        <f>SUMIF('C3'!$B$6:$B$2228,B553,'C3'!$D$6:$D$2228)</f>
        <v>0</v>
      </c>
      <c r="H553" s="22"/>
      <c r="I553" s="22"/>
      <c r="J553" s="4" t="s">
        <v>570</v>
      </c>
      <c r="K553" s="4" t="s">
        <v>571</v>
      </c>
    </row>
    <row r="554" spans="2:11">
      <c r="B554" s="1">
        <v>1011</v>
      </c>
      <c r="C554" s="4" t="s">
        <v>582</v>
      </c>
      <c r="D554" s="19">
        <f t="shared" si="8"/>
        <v>0</v>
      </c>
      <c r="E554" s="19">
        <f>SUMIF('C1'!$B$6:$B$2228,B554,'C1'!$D$6:$D$2228)</f>
        <v>0</v>
      </c>
      <c r="F554" s="19">
        <f>SUMIF('C2'!$B$6:$B$2228,B554,'C2'!$D$6:$D$2228)</f>
        <v>0</v>
      </c>
      <c r="G554" s="19">
        <f>SUMIF('C3'!$B$6:$B$2228,B554,'C3'!$D$6:$D$2228)</f>
        <v>0</v>
      </c>
      <c r="H554" s="22"/>
      <c r="I554" s="22"/>
      <c r="J554" s="4" t="s">
        <v>570</v>
      </c>
      <c r="K554" s="4" t="s">
        <v>571</v>
      </c>
    </row>
    <row r="555" spans="2:11">
      <c r="B555" s="1">
        <v>1012</v>
      </c>
      <c r="C555" s="4" t="s">
        <v>583</v>
      </c>
      <c r="D555" s="19">
        <f t="shared" si="8"/>
        <v>0</v>
      </c>
      <c r="E555" s="19">
        <f>SUMIF('C1'!$B$6:$B$2228,B555,'C1'!$D$6:$D$2228)</f>
        <v>0</v>
      </c>
      <c r="F555" s="19">
        <f>SUMIF('C2'!$B$6:$B$2228,B555,'C2'!$D$6:$D$2228)</f>
        <v>0</v>
      </c>
      <c r="G555" s="19">
        <f>SUMIF('C3'!$B$6:$B$2228,B555,'C3'!$D$6:$D$2228)</f>
        <v>0</v>
      </c>
      <c r="H555" s="22"/>
      <c r="I555" s="22"/>
      <c r="J555" s="4" t="s">
        <v>570</v>
      </c>
      <c r="K555" s="4" t="s">
        <v>571</v>
      </c>
    </row>
    <row r="556" spans="2:11">
      <c r="B556" s="1">
        <v>1013</v>
      </c>
      <c r="C556" s="4" t="s">
        <v>584</v>
      </c>
      <c r="D556" s="19">
        <f t="shared" si="8"/>
        <v>0</v>
      </c>
      <c r="E556" s="19">
        <f>SUMIF('C1'!$B$6:$B$2228,B556,'C1'!$D$6:$D$2228)</f>
        <v>0</v>
      </c>
      <c r="F556" s="19">
        <f>SUMIF('C2'!$B$6:$B$2228,B556,'C2'!$D$6:$D$2228)</f>
        <v>0</v>
      </c>
      <c r="G556" s="19">
        <f>SUMIF('C3'!$B$6:$B$2228,B556,'C3'!$D$6:$D$2228)</f>
        <v>0</v>
      </c>
      <c r="H556" s="22"/>
      <c r="I556" s="22"/>
      <c r="J556" s="4" t="s">
        <v>570</v>
      </c>
      <c r="K556" s="4" t="s">
        <v>571</v>
      </c>
    </row>
    <row r="557" spans="2:11">
      <c r="B557" s="1">
        <v>1014</v>
      </c>
      <c r="C557" s="4" t="s">
        <v>585</v>
      </c>
      <c r="D557" s="19">
        <f t="shared" si="8"/>
        <v>0</v>
      </c>
      <c r="E557" s="19">
        <f>SUMIF('C1'!$B$6:$B$2228,B557,'C1'!$D$6:$D$2228)</f>
        <v>0</v>
      </c>
      <c r="F557" s="19">
        <f>SUMIF('C2'!$B$6:$B$2228,B557,'C2'!$D$6:$D$2228)</f>
        <v>0</v>
      </c>
      <c r="G557" s="19">
        <f>SUMIF('C3'!$B$6:$B$2228,B557,'C3'!$D$6:$D$2228)</f>
        <v>0</v>
      </c>
      <c r="H557" s="22"/>
      <c r="I557" s="22"/>
      <c r="J557" s="4" t="s">
        <v>570</v>
      </c>
      <c r="K557" s="4" t="s">
        <v>571</v>
      </c>
    </row>
    <row r="558" spans="2:11">
      <c r="B558" s="1">
        <v>1015</v>
      </c>
      <c r="C558" s="4" t="s">
        <v>586</v>
      </c>
      <c r="D558" s="19">
        <f t="shared" si="8"/>
        <v>0</v>
      </c>
      <c r="E558" s="19">
        <f>SUMIF('C1'!$B$6:$B$2228,B558,'C1'!$D$6:$D$2228)</f>
        <v>0</v>
      </c>
      <c r="F558" s="19">
        <f>SUMIF('C2'!$B$6:$B$2228,B558,'C2'!$D$6:$D$2228)</f>
        <v>0</v>
      </c>
      <c r="G558" s="19">
        <f>SUMIF('C3'!$B$6:$B$2228,B558,'C3'!$D$6:$D$2228)</f>
        <v>0</v>
      </c>
      <c r="H558" s="22"/>
      <c r="I558" s="22"/>
      <c r="J558" s="4" t="s">
        <v>570</v>
      </c>
      <c r="K558" s="4" t="s">
        <v>571</v>
      </c>
    </row>
    <row r="559" spans="2:11">
      <c r="B559" s="1">
        <v>1045</v>
      </c>
      <c r="C559" s="4" t="s">
        <v>587</v>
      </c>
      <c r="D559" s="19">
        <f t="shared" si="8"/>
        <v>0</v>
      </c>
      <c r="E559" s="19">
        <f>SUMIF('C1'!$B$6:$B$2228,B559,'C1'!$D$6:$D$2228)</f>
        <v>0</v>
      </c>
      <c r="F559" s="19">
        <f>SUMIF('C2'!$B$6:$B$2228,B559,'C2'!$D$6:$D$2228)</f>
        <v>0</v>
      </c>
      <c r="G559" s="19">
        <f>SUMIF('C3'!$B$6:$B$2228,B559,'C3'!$D$6:$D$2228)</f>
        <v>0</v>
      </c>
      <c r="H559" s="22"/>
      <c r="I559" s="22"/>
      <c r="J559" s="4" t="s">
        <v>570</v>
      </c>
      <c r="K559" s="4" t="s">
        <v>571</v>
      </c>
    </row>
    <row r="560" spans="2:11">
      <c r="B560" s="1">
        <v>1054</v>
      </c>
      <c r="C560" s="4" t="s">
        <v>588</v>
      </c>
      <c r="D560" s="19">
        <f t="shared" si="8"/>
        <v>0</v>
      </c>
      <c r="E560" s="19">
        <f>SUMIF('C1'!$B$6:$B$2228,B560,'C1'!$D$6:$D$2228)</f>
        <v>0</v>
      </c>
      <c r="F560" s="19">
        <f>SUMIF('C2'!$B$6:$B$2228,B560,'C2'!$D$6:$D$2228)</f>
        <v>0</v>
      </c>
      <c r="G560" s="19">
        <f>SUMIF('C3'!$B$6:$B$2228,B560,'C3'!$D$6:$D$2228)</f>
        <v>0</v>
      </c>
      <c r="H560" s="22"/>
      <c r="I560" s="22"/>
      <c r="J560" s="4" t="s">
        <v>570</v>
      </c>
      <c r="K560" s="4" t="s">
        <v>571</v>
      </c>
    </row>
    <row r="561" spans="2:11">
      <c r="B561" s="1">
        <v>1055</v>
      </c>
      <c r="C561" s="4" t="s">
        <v>589</v>
      </c>
      <c r="D561" s="19">
        <f t="shared" si="8"/>
        <v>0</v>
      </c>
      <c r="E561" s="19">
        <f>SUMIF('C1'!$B$6:$B$2228,B561,'C1'!$D$6:$D$2228)</f>
        <v>0</v>
      </c>
      <c r="F561" s="19">
        <f>SUMIF('C2'!$B$6:$B$2228,B561,'C2'!$D$6:$D$2228)</f>
        <v>0</v>
      </c>
      <c r="G561" s="19">
        <f>SUMIF('C3'!$B$6:$B$2228,B561,'C3'!$D$6:$D$2228)</f>
        <v>0</v>
      </c>
      <c r="H561" s="22"/>
      <c r="I561" s="22"/>
      <c r="J561" s="4" t="s">
        <v>570</v>
      </c>
      <c r="K561" s="4" t="s">
        <v>571</v>
      </c>
    </row>
    <row r="562" spans="2:11">
      <c r="B562" s="1">
        <v>1102</v>
      </c>
      <c r="C562" s="4" t="s">
        <v>590</v>
      </c>
      <c r="D562" s="19">
        <f t="shared" si="8"/>
        <v>0</v>
      </c>
      <c r="E562" s="19">
        <f>SUMIF('C1'!$B$6:$B$2228,B562,'C1'!$D$6:$D$2228)</f>
        <v>0</v>
      </c>
      <c r="F562" s="19">
        <f>SUMIF('C2'!$B$6:$B$2228,B562,'C2'!$D$6:$D$2228)</f>
        <v>0</v>
      </c>
      <c r="G562" s="19">
        <f>SUMIF('C3'!$B$6:$B$2228,B562,'C3'!$D$6:$D$2228)</f>
        <v>0</v>
      </c>
      <c r="H562" s="22"/>
      <c r="I562" s="22"/>
      <c r="J562" s="4" t="s">
        <v>570</v>
      </c>
      <c r="K562" s="4" t="s">
        <v>571</v>
      </c>
    </row>
    <row r="563" spans="2:11">
      <c r="B563" s="1">
        <v>1107</v>
      </c>
      <c r="C563" s="4" t="s">
        <v>591</v>
      </c>
      <c r="D563" s="19">
        <f t="shared" si="8"/>
        <v>0</v>
      </c>
      <c r="E563" s="19">
        <f>SUMIF('C1'!$B$6:$B$2228,B563,'C1'!$D$6:$D$2228)</f>
        <v>0</v>
      </c>
      <c r="F563" s="19">
        <f>SUMIF('C2'!$B$6:$B$2228,B563,'C2'!$D$6:$D$2228)</f>
        <v>0</v>
      </c>
      <c r="G563" s="19">
        <f>SUMIF('C3'!$B$6:$B$2228,B563,'C3'!$D$6:$D$2228)</f>
        <v>0</v>
      </c>
      <c r="H563" s="22"/>
      <c r="I563" s="22"/>
      <c r="J563" s="4" t="s">
        <v>570</v>
      </c>
      <c r="K563" s="4" t="s">
        <v>571</v>
      </c>
    </row>
    <row r="564" spans="2:11">
      <c r="B564" s="1">
        <v>1119</v>
      </c>
      <c r="C564" s="4" t="s">
        <v>592</v>
      </c>
      <c r="D564" s="19">
        <f t="shared" si="8"/>
        <v>0</v>
      </c>
      <c r="E564" s="19">
        <f>SUMIF('C1'!$B$6:$B$2228,B564,'C1'!$D$6:$D$2228)</f>
        <v>0</v>
      </c>
      <c r="F564" s="19">
        <f>SUMIF('C2'!$B$6:$B$2228,B564,'C2'!$D$6:$D$2228)</f>
        <v>0</v>
      </c>
      <c r="G564" s="19">
        <f>SUMIF('C3'!$B$6:$B$2228,B564,'C3'!$D$6:$D$2228)</f>
        <v>0</v>
      </c>
      <c r="H564" s="22"/>
      <c r="I564" s="22"/>
      <c r="J564" s="4" t="s">
        <v>570</v>
      </c>
      <c r="K564" s="4" t="s">
        <v>571</v>
      </c>
    </row>
    <row r="565" spans="2:11">
      <c r="B565" s="1">
        <v>1120</v>
      </c>
      <c r="C565" s="4" t="s">
        <v>593</v>
      </c>
      <c r="D565" s="19">
        <f t="shared" si="8"/>
        <v>0</v>
      </c>
      <c r="E565" s="19">
        <f>SUMIF('C1'!$B$6:$B$2228,B565,'C1'!$D$6:$D$2228)</f>
        <v>0</v>
      </c>
      <c r="F565" s="19">
        <f>SUMIF('C2'!$B$6:$B$2228,B565,'C2'!$D$6:$D$2228)</f>
        <v>0</v>
      </c>
      <c r="G565" s="19">
        <f>SUMIF('C3'!$B$6:$B$2228,B565,'C3'!$D$6:$D$2228)</f>
        <v>0</v>
      </c>
      <c r="H565" s="22"/>
      <c r="I565" s="22"/>
      <c r="J565" s="4" t="s">
        <v>570</v>
      </c>
      <c r="K565" s="4" t="s">
        <v>571</v>
      </c>
    </row>
    <row r="566" spans="2:11">
      <c r="B566" s="1">
        <v>1500</v>
      </c>
      <c r="C566" s="4" t="s">
        <v>594</v>
      </c>
      <c r="D566" s="19">
        <f t="shared" si="8"/>
        <v>0</v>
      </c>
      <c r="E566" s="19">
        <f>SUMIF('C1'!$B$6:$B$2228,B566,'C1'!$D$6:$D$2228)</f>
        <v>0</v>
      </c>
      <c r="F566" s="19">
        <f>SUMIF('C2'!$B$6:$B$2228,B566,'C2'!$D$6:$D$2228)</f>
        <v>0</v>
      </c>
      <c r="G566" s="19">
        <f>SUMIF('C3'!$B$6:$B$2228,B566,'C3'!$D$6:$D$2228)</f>
        <v>0</v>
      </c>
      <c r="H566" s="22"/>
      <c r="I566" s="22"/>
      <c r="J566" s="4" t="s">
        <v>595</v>
      </c>
      <c r="K566" s="4" t="s">
        <v>596</v>
      </c>
    </row>
    <row r="567" spans="2:11">
      <c r="B567" s="1">
        <v>1503</v>
      </c>
      <c r="C567" s="4" t="s">
        <v>597</v>
      </c>
      <c r="D567" s="19">
        <f t="shared" si="8"/>
        <v>0</v>
      </c>
      <c r="E567" s="19">
        <f>SUMIF('C1'!$B$6:$B$2228,B567,'C1'!$D$6:$D$2228)</f>
        <v>0</v>
      </c>
      <c r="F567" s="19">
        <f>SUMIF('C2'!$B$6:$B$2228,B567,'C2'!$D$6:$D$2228)</f>
        <v>0</v>
      </c>
      <c r="G567" s="19">
        <f>SUMIF('C3'!$B$6:$B$2228,B567,'C3'!$D$6:$D$2228)</f>
        <v>0</v>
      </c>
      <c r="H567" s="22"/>
      <c r="I567" s="22"/>
      <c r="J567" s="4" t="s">
        <v>595</v>
      </c>
      <c r="K567" s="4" t="s">
        <v>596</v>
      </c>
    </row>
    <row r="568" spans="2:11">
      <c r="B568" s="1">
        <v>1504</v>
      </c>
      <c r="C568" s="4" t="s">
        <v>598</v>
      </c>
      <c r="D568" s="19">
        <f t="shared" si="8"/>
        <v>0</v>
      </c>
      <c r="E568" s="19">
        <f>SUMIF('C1'!$B$6:$B$2228,B568,'C1'!$D$6:$D$2228)</f>
        <v>0</v>
      </c>
      <c r="F568" s="19">
        <f>SUMIF('C2'!$B$6:$B$2228,B568,'C2'!$D$6:$D$2228)</f>
        <v>0</v>
      </c>
      <c r="G568" s="19">
        <f>SUMIF('C3'!$B$6:$B$2228,B568,'C3'!$D$6:$D$2228)</f>
        <v>0</v>
      </c>
      <c r="H568" s="22"/>
      <c r="I568" s="22"/>
      <c r="J568" s="4" t="s">
        <v>595</v>
      </c>
      <c r="K568" s="4" t="s">
        <v>599</v>
      </c>
    </row>
    <row r="569" spans="2:11">
      <c r="B569" s="1">
        <v>1514</v>
      </c>
      <c r="C569" s="4" t="s">
        <v>600</v>
      </c>
      <c r="D569" s="19">
        <f t="shared" si="8"/>
        <v>0</v>
      </c>
      <c r="E569" s="19">
        <f>SUMIF('C1'!$B$6:$B$2228,B569,'C1'!$D$6:$D$2228)</f>
        <v>0</v>
      </c>
      <c r="F569" s="19">
        <f>SUMIF('C2'!$B$6:$B$2228,B569,'C2'!$D$6:$D$2228)</f>
        <v>0</v>
      </c>
      <c r="G569" s="19">
        <f>SUMIF('C3'!$B$6:$B$2228,B569,'C3'!$D$6:$D$2228)</f>
        <v>0</v>
      </c>
      <c r="H569" s="22"/>
      <c r="I569" s="22"/>
      <c r="J569" s="4" t="s">
        <v>595</v>
      </c>
      <c r="K569" s="4" t="s">
        <v>599</v>
      </c>
    </row>
    <row r="570" spans="2:11">
      <c r="B570" s="1">
        <v>1523</v>
      </c>
      <c r="C570" s="4" t="s">
        <v>601</v>
      </c>
      <c r="D570" s="19">
        <f t="shared" si="8"/>
        <v>0</v>
      </c>
      <c r="E570" s="19">
        <f>SUMIF('C1'!$B$6:$B$2228,B570,'C1'!$D$6:$D$2228)</f>
        <v>0</v>
      </c>
      <c r="F570" s="19">
        <f>SUMIF('C2'!$B$6:$B$2228,B570,'C2'!$D$6:$D$2228)</f>
        <v>0</v>
      </c>
      <c r="G570" s="19">
        <f>SUMIF('C3'!$B$6:$B$2228,B570,'C3'!$D$6:$D$2228)</f>
        <v>0</v>
      </c>
      <c r="H570" s="22"/>
      <c r="I570" s="22"/>
      <c r="J570" s="4" t="s">
        <v>595</v>
      </c>
      <c r="K570" s="4" t="s">
        <v>596</v>
      </c>
    </row>
    <row r="571" spans="2:11">
      <c r="B571" s="1">
        <v>1524</v>
      </c>
      <c r="C571" s="4" t="s">
        <v>602</v>
      </c>
      <c r="D571" s="19">
        <f t="shared" si="8"/>
        <v>0</v>
      </c>
      <c r="E571" s="19">
        <f>SUMIF('C1'!$B$6:$B$2228,B571,'C1'!$D$6:$D$2228)</f>
        <v>0</v>
      </c>
      <c r="F571" s="19">
        <f>SUMIF('C2'!$B$6:$B$2228,B571,'C2'!$D$6:$D$2228)</f>
        <v>0</v>
      </c>
      <c r="G571" s="19">
        <f>SUMIF('C3'!$B$6:$B$2228,B571,'C3'!$D$6:$D$2228)</f>
        <v>0</v>
      </c>
      <c r="H571" s="22"/>
      <c r="I571" s="22"/>
      <c r="J571" s="4" t="s">
        <v>595</v>
      </c>
      <c r="K571" s="4" t="s">
        <v>596</v>
      </c>
    </row>
    <row r="572" spans="2:11">
      <c r="B572" s="1">
        <v>1525</v>
      </c>
      <c r="C572" s="4" t="s">
        <v>603</v>
      </c>
      <c r="D572" s="19">
        <f t="shared" si="8"/>
        <v>0</v>
      </c>
      <c r="E572" s="19">
        <f>SUMIF('C1'!$B$6:$B$2228,B572,'C1'!$D$6:$D$2228)</f>
        <v>0</v>
      </c>
      <c r="F572" s="19">
        <f>SUMIF('C2'!$B$6:$B$2228,B572,'C2'!$D$6:$D$2228)</f>
        <v>0</v>
      </c>
      <c r="G572" s="19">
        <f>SUMIF('C3'!$B$6:$B$2228,B572,'C3'!$D$6:$D$2228)</f>
        <v>0</v>
      </c>
      <c r="H572" s="22"/>
      <c r="I572" s="22"/>
      <c r="J572" s="4" t="s">
        <v>595</v>
      </c>
      <c r="K572" s="4" t="s">
        <v>596</v>
      </c>
    </row>
    <row r="573" spans="2:11">
      <c r="B573" s="1">
        <v>1526</v>
      </c>
      <c r="C573" s="4" t="s">
        <v>604</v>
      </c>
      <c r="D573" s="19">
        <f t="shared" si="8"/>
        <v>0</v>
      </c>
      <c r="E573" s="19">
        <f>SUMIF('C1'!$B$6:$B$2228,B573,'C1'!$D$6:$D$2228)</f>
        <v>0</v>
      </c>
      <c r="F573" s="19">
        <f>SUMIF('C2'!$B$6:$B$2228,B573,'C2'!$D$6:$D$2228)</f>
        <v>0</v>
      </c>
      <c r="G573" s="19">
        <f>SUMIF('C3'!$B$6:$B$2228,B573,'C3'!$D$6:$D$2228)</f>
        <v>0</v>
      </c>
      <c r="H573" s="22"/>
      <c r="I573" s="22"/>
      <c r="J573" s="4" t="s">
        <v>595</v>
      </c>
      <c r="K573" s="4" t="s">
        <v>596</v>
      </c>
    </row>
    <row r="574" spans="2:11">
      <c r="B574" s="1">
        <v>1530</v>
      </c>
      <c r="C574" s="4" t="s">
        <v>605</v>
      </c>
      <c r="D574" s="19">
        <f t="shared" si="8"/>
        <v>0</v>
      </c>
      <c r="E574" s="19">
        <f>SUMIF('C1'!$B$6:$B$2228,B574,'C1'!$D$6:$D$2228)</f>
        <v>0</v>
      </c>
      <c r="F574" s="19">
        <f>SUMIF('C2'!$B$6:$B$2228,B574,'C2'!$D$6:$D$2228)</f>
        <v>0</v>
      </c>
      <c r="G574" s="19">
        <f>SUMIF('C3'!$B$6:$B$2228,B574,'C3'!$D$6:$D$2228)</f>
        <v>0</v>
      </c>
      <c r="H574" s="22"/>
      <c r="I574" s="22"/>
      <c r="J574" s="4" t="s">
        <v>595</v>
      </c>
      <c r="K574" s="4" t="s">
        <v>599</v>
      </c>
    </row>
    <row r="575" spans="2:11">
      <c r="B575" s="1">
        <v>1575</v>
      </c>
      <c r="C575" s="4" t="s">
        <v>606</v>
      </c>
      <c r="D575" s="19">
        <f t="shared" si="8"/>
        <v>0</v>
      </c>
      <c r="E575" s="19">
        <f>SUMIF('C1'!$B$6:$B$2228,B575,'C1'!$D$6:$D$2228)</f>
        <v>0</v>
      </c>
      <c r="F575" s="19">
        <f>SUMIF('C2'!$B$6:$B$2228,B575,'C2'!$D$6:$D$2228)</f>
        <v>0</v>
      </c>
      <c r="G575" s="19">
        <f>SUMIF('C3'!$B$6:$B$2228,B575,'C3'!$D$6:$D$2228)</f>
        <v>0</v>
      </c>
      <c r="H575" s="22"/>
      <c r="I575" s="22"/>
      <c r="J575" s="4" t="s">
        <v>595</v>
      </c>
      <c r="K575" s="4" t="s">
        <v>599</v>
      </c>
    </row>
    <row r="576" spans="2:11">
      <c r="B576" s="1">
        <v>1576</v>
      </c>
      <c r="C576" s="4" t="s">
        <v>607</v>
      </c>
      <c r="D576" s="19">
        <f t="shared" si="8"/>
        <v>0</v>
      </c>
      <c r="E576" s="19">
        <f>SUMIF('C1'!$B$6:$B$2228,B576,'C1'!$D$6:$D$2228)</f>
        <v>0</v>
      </c>
      <c r="F576" s="19">
        <f>SUMIF('C2'!$B$6:$B$2228,B576,'C2'!$D$6:$D$2228)</f>
        <v>0</v>
      </c>
      <c r="G576" s="19">
        <f>SUMIF('C3'!$B$6:$B$2228,B576,'C3'!$D$6:$D$2228)</f>
        <v>0</v>
      </c>
      <c r="H576" s="22"/>
      <c r="I576" s="22"/>
      <c r="J576" s="4" t="s">
        <v>595</v>
      </c>
      <c r="K576" s="4" t="s">
        <v>599</v>
      </c>
    </row>
    <row r="577" spans="2:11">
      <c r="B577" s="1">
        <v>1578</v>
      </c>
      <c r="C577" s="4" t="s">
        <v>608</v>
      </c>
      <c r="D577" s="19">
        <f t="shared" si="8"/>
        <v>0</v>
      </c>
      <c r="E577" s="19">
        <f>SUMIF('C1'!$B$6:$B$2228,B577,'C1'!$D$6:$D$2228)</f>
        <v>0</v>
      </c>
      <c r="F577" s="19">
        <f>SUMIF('C2'!$B$6:$B$2228,B577,'C2'!$D$6:$D$2228)</f>
        <v>0</v>
      </c>
      <c r="G577" s="19">
        <f>SUMIF('C3'!$B$6:$B$2228,B577,'C3'!$D$6:$D$2228)</f>
        <v>0</v>
      </c>
      <c r="H577" s="22"/>
      <c r="I577" s="22"/>
      <c r="J577" s="4" t="s">
        <v>595</v>
      </c>
      <c r="K577" s="4" t="s">
        <v>596</v>
      </c>
    </row>
    <row r="578" spans="2:11">
      <c r="B578" s="1">
        <v>1605</v>
      </c>
      <c r="C578" s="4" t="s">
        <v>609</v>
      </c>
      <c r="D578" s="19">
        <f t="shared" si="8"/>
        <v>0</v>
      </c>
      <c r="E578" s="19">
        <f>SUMIF('C1'!$B$6:$B$2228,B578,'C1'!$D$6:$D$2228)</f>
        <v>0</v>
      </c>
      <c r="F578" s="19">
        <f>SUMIF('C2'!$B$6:$B$2228,B578,'C2'!$D$6:$D$2228)</f>
        <v>0</v>
      </c>
      <c r="G578" s="19">
        <f>SUMIF('C3'!$B$6:$B$2228,B578,'C3'!$D$6:$D$2228)</f>
        <v>0</v>
      </c>
      <c r="H578" s="22"/>
      <c r="I578" s="22"/>
      <c r="J578" s="4" t="s">
        <v>595</v>
      </c>
      <c r="K578" s="4" t="s">
        <v>596</v>
      </c>
    </row>
    <row r="579" spans="2:11">
      <c r="B579" s="1">
        <v>1606</v>
      </c>
      <c r="C579" s="4" t="s">
        <v>610</v>
      </c>
      <c r="D579" s="19">
        <f t="shared" si="8"/>
        <v>0</v>
      </c>
      <c r="E579" s="19">
        <f>SUMIF('C1'!$B$6:$B$2228,B579,'C1'!$D$6:$D$2228)</f>
        <v>0</v>
      </c>
      <c r="F579" s="19">
        <f>SUMIF('C2'!$B$6:$B$2228,B579,'C2'!$D$6:$D$2228)</f>
        <v>0</v>
      </c>
      <c r="G579" s="19">
        <f>SUMIF('C3'!$B$6:$B$2228,B579,'C3'!$D$6:$D$2228)</f>
        <v>0</v>
      </c>
      <c r="H579" s="22"/>
      <c r="I579" s="22"/>
      <c r="J579" s="4" t="s">
        <v>595</v>
      </c>
      <c r="K579" s="4" t="s">
        <v>596</v>
      </c>
    </row>
    <row r="580" spans="2:11">
      <c r="B580" s="1">
        <v>1607</v>
      </c>
      <c r="C580" s="4" t="s">
        <v>611</v>
      </c>
      <c r="D580" s="19">
        <f t="shared" si="8"/>
        <v>0</v>
      </c>
      <c r="E580" s="19">
        <f>SUMIF('C1'!$B$6:$B$2228,B580,'C1'!$D$6:$D$2228)</f>
        <v>0</v>
      </c>
      <c r="F580" s="19">
        <f>SUMIF('C2'!$B$6:$B$2228,B580,'C2'!$D$6:$D$2228)</f>
        <v>0</v>
      </c>
      <c r="G580" s="19">
        <f>SUMIF('C3'!$B$6:$B$2228,B580,'C3'!$D$6:$D$2228)</f>
        <v>0</v>
      </c>
      <c r="H580" s="22"/>
      <c r="I580" s="22"/>
      <c r="J580" s="4" t="s">
        <v>595</v>
      </c>
      <c r="K580" s="4" t="s">
        <v>596</v>
      </c>
    </row>
    <row r="581" spans="2:11">
      <c r="B581" s="1">
        <v>2001</v>
      </c>
      <c r="C581" s="4" t="s">
        <v>612</v>
      </c>
      <c r="D581" s="19">
        <f t="shared" si="8"/>
        <v>0</v>
      </c>
      <c r="E581" s="19">
        <f>SUMIF('C1'!$B$6:$B$2228,B581,'C1'!$D$6:$D$2228)</f>
        <v>0</v>
      </c>
      <c r="F581" s="19">
        <f>SUMIF('C2'!$B$6:$B$2228,B581,'C2'!$D$6:$D$2228)</f>
        <v>0</v>
      </c>
      <c r="G581" s="19">
        <f>SUMIF('C3'!$B$6:$B$2228,B581,'C3'!$D$6:$D$2228)</f>
        <v>0</v>
      </c>
      <c r="H581" s="22"/>
      <c r="I581" s="22"/>
      <c r="J581" s="4" t="s">
        <v>613</v>
      </c>
      <c r="K581" s="4" t="s">
        <v>614</v>
      </c>
    </row>
    <row r="582" spans="2:11">
      <c r="B582" s="1">
        <v>2002</v>
      </c>
      <c r="C582" s="4" t="s">
        <v>615</v>
      </c>
      <c r="D582" s="19">
        <f t="shared" si="8"/>
        <v>0</v>
      </c>
      <c r="E582" s="19">
        <f>SUMIF('C1'!$B$6:$B$2228,B582,'C1'!$D$6:$D$2228)</f>
        <v>0</v>
      </c>
      <c r="F582" s="19">
        <f>SUMIF('C2'!$B$6:$B$2228,B582,'C2'!$D$6:$D$2228)</f>
        <v>0</v>
      </c>
      <c r="G582" s="19">
        <f>SUMIF('C3'!$B$6:$B$2228,B582,'C3'!$D$6:$D$2228)</f>
        <v>0</v>
      </c>
      <c r="H582" s="22"/>
      <c r="I582" s="22"/>
      <c r="J582" s="4" t="s">
        <v>613</v>
      </c>
      <c r="K582" s="4" t="s">
        <v>614</v>
      </c>
    </row>
    <row r="583" spans="2:11">
      <c r="B583" s="1">
        <v>2018</v>
      </c>
      <c r="C583" s="4" t="s">
        <v>616</v>
      </c>
      <c r="D583" s="19">
        <f t="shared" ref="D583:D646" si="9">SUM(E583:I583)</f>
        <v>0</v>
      </c>
      <c r="E583" s="19">
        <f>SUMIF('C1'!$B$6:$B$2228,B583,'C1'!$D$6:$D$2228)</f>
        <v>0</v>
      </c>
      <c r="F583" s="19">
        <f>SUMIF('C2'!$B$6:$B$2228,B583,'C2'!$D$6:$D$2228)</f>
        <v>0</v>
      </c>
      <c r="G583" s="19">
        <f>SUMIF('C3'!$B$6:$B$2228,B583,'C3'!$D$6:$D$2228)</f>
        <v>0</v>
      </c>
      <c r="H583" s="22"/>
      <c r="I583" s="22"/>
      <c r="J583" s="4" t="s">
        <v>613</v>
      </c>
      <c r="K583" s="4" t="s">
        <v>617</v>
      </c>
    </row>
    <row r="584" spans="2:11">
      <c r="B584" s="1">
        <v>2039</v>
      </c>
      <c r="C584" s="4" t="s">
        <v>618</v>
      </c>
      <c r="D584" s="19">
        <f t="shared" si="9"/>
        <v>0</v>
      </c>
      <c r="E584" s="19">
        <f>SUMIF('C1'!$B$6:$B$2228,B584,'C1'!$D$6:$D$2228)</f>
        <v>0</v>
      </c>
      <c r="F584" s="19">
        <f>SUMIF('C2'!$B$6:$B$2228,B584,'C2'!$D$6:$D$2228)</f>
        <v>0</v>
      </c>
      <c r="G584" s="19">
        <f>SUMIF('C3'!$B$6:$B$2228,B584,'C3'!$D$6:$D$2228)</f>
        <v>0</v>
      </c>
      <c r="H584" s="22"/>
      <c r="I584" s="22"/>
      <c r="J584" s="4" t="s">
        <v>613</v>
      </c>
      <c r="K584" s="4" t="s">
        <v>617</v>
      </c>
    </row>
    <row r="585" spans="2:11">
      <c r="B585" s="1">
        <v>2041</v>
      </c>
      <c r="C585" s="4" t="s">
        <v>619</v>
      </c>
      <c r="D585" s="19">
        <f t="shared" si="9"/>
        <v>0</v>
      </c>
      <c r="E585" s="19">
        <f>SUMIF('C1'!$B$6:$B$2228,B585,'C1'!$D$6:$D$2228)</f>
        <v>0</v>
      </c>
      <c r="F585" s="19">
        <f>SUMIF('C2'!$B$6:$B$2228,B585,'C2'!$D$6:$D$2228)</f>
        <v>0</v>
      </c>
      <c r="G585" s="19">
        <f>SUMIF('C3'!$B$6:$B$2228,B585,'C3'!$D$6:$D$2228)</f>
        <v>0</v>
      </c>
      <c r="H585" s="22"/>
      <c r="I585" s="22"/>
      <c r="J585" s="4" t="s">
        <v>613</v>
      </c>
      <c r="K585" s="4" t="s">
        <v>614</v>
      </c>
    </row>
    <row r="586" spans="2:11">
      <c r="B586" s="1">
        <v>2042</v>
      </c>
      <c r="C586" s="4" t="s">
        <v>620</v>
      </c>
      <c r="D586" s="19">
        <f t="shared" si="9"/>
        <v>0</v>
      </c>
      <c r="E586" s="19">
        <f>SUMIF('C1'!$B$6:$B$2228,B586,'C1'!$D$6:$D$2228)</f>
        <v>0</v>
      </c>
      <c r="F586" s="19">
        <f>SUMIF('C2'!$B$6:$B$2228,B586,'C2'!$D$6:$D$2228)</f>
        <v>0</v>
      </c>
      <c r="G586" s="19">
        <f>SUMIF('C3'!$B$6:$B$2228,B586,'C3'!$D$6:$D$2228)</f>
        <v>0</v>
      </c>
      <c r="H586" s="22"/>
      <c r="I586" s="22"/>
      <c r="J586" s="4" t="s">
        <v>613</v>
      </c>
      <c r="K586" s="4" t="s">
        <v>614</v>
      </c>
    </row>
    <row r="587" spans="2:11">
      <c r="B587" s="1">
        <v>2069</v>
      </c>
      <c r="C587" s="4" t="s">
        <v>621</v>
      </c>
      <c r="D587" s="19">
        <f t="shared" si="9"/>
        <v>0</v>
      </c>
      <c r="E587" s="19">
        <f>SUMIF('C1'!$B$6:$B$2228,B587,'C1'!$D$6:$D$2228)</f>
        <v>0</v>
      </c>
      <c r="F587" s="19">
        <f>SUMIF('C2'!$B$6:$B$2228,B587,'C2'!$D$6:$D$2228)</f>
        <v>0</v>
      </c>
      <c r="G587" s="19">
        <f>SUMIF('C3'!$B$6:$B$2228,B587,'C3'!$D$6:$D$2228)</f>
        <v>0</v>
      </c>
      <c r="H587" s="22"/>
      <c r="I587" s="22"/>
      <c r="J587" s="4" t="s">
        <v>613</v>
      </c>
      <c r="K587" s="4" t="s">
        <v>614</v>
      </c>
    </row>
    <row r="588" spans="2:11">
      <c r="B588" s="1">
        <v>2070</v>
      </c>
      <c r="C588" s="4" t="s">
        <v>622</v>
      </c>
      <c r="D588" s="19">
        <f t="shared" si="9"/>
        <v>0</v>
      </c>
      <c r="E588" s="19">
        <f>SUMIF('C1'!$B$6:$B$2228,B588,'C1'!$D$6:$D$2228)</f>
        <v>0</v>
      </c>
      <c r="F588" s="19">
        <f>SUMIF('C2'!$B$6:$B$2228,B588,'C2'!$D$6:$D$2228)</f>
        <v>0</v>
      </c>
      <c r="G588" s="19">
        <f>SUMIF('C3'!$B$6:$B$2228,B588,'C3'!$D$6:$D$2228)</f>
        <v>0</v>
      </c>
      <c r="H588" s="22"/>
      <c r="I588" s="22"/>
      <c r="J588" s="4" t="s">
        <v>613</v>
      </c>
      <c r="K588" s="4" t="s">
        <v>614</v>
      </c>
    </row>
    <row r="589" spans="2:11">
      <c r="B589" s="1">
        <v>7007</v>
      </c>
      <c r="C589" s="4" t="s">
        <v>623</v>
      </c>
      <c r="D589" s="19">
        <f t="shared" si="9"/>
        <v>0</v>
      </c>
      <c r="E589" s="19">
        <f>SUMIF('C1'!$B$6:$B$2228,B589,'C1'!$D$6:$D$2228)</f>
        <v>0</v>
      </c>
      <c r="F589" s="19">
        <f>SUMIF('C2'!$B$6:$B$2228,B589,'C2'!$D$6:$D$2228)</f>
        <v>0</v>
      </c>
      <c r="G589" s="19">
        <f>SUMIF('C3'!$B$6:$B$2228,B589,'C3'!$D$6:$D$2228)</f>
        <v>0</v>
      </c>
      <c r="H589" s="22"/>
      <c r="I589" s="22"/>
      <c r="J589" s="4" t="s">
        <v>570</v>
      </c>
      <c r="K589" s="4" t="s">
        <v>624</v>
      </c>
    </row>
    <row r="590" spans="2:11">
      <c r="B590" s="1">
        <v>7009</v>
      </c>
      <c r="C590" s="4" t="s">
        <v>625</v>
      </c>
      <c r="D590" s="19">
        <f t="shared" si="9"/>
        <v>0</v>
      </c>
      <c r="E590" s="19">
        <f>SUMIF('C1'!$B$6:$B$2228,B590,'C1'!$D$6:$D$2228)</f>
        <v>0</v>
      </c>
      <c r="F590" s="19">
        <f>SUMIF('C2'!$B$6:$B$2228,B590,'C2'!$D$6:$D$2228)</f>
        <v>0</v>
      </c>
      <c r="G590" s="19">
        <f>SUMIF('C3'!$B$6:$B$2228,B590,'C3'!$D$6:$D$2228)</f>
        <v>0</v>
      </c>
      <c r="H590" s="22"/>
      <c r="I590" s="22"/>
      <c r="J590" s="4" t="s">
        <v>570</v>
      </c>
      <c r="K590" s="4" t="s">
        <v>624</v>
      </c>
    </row>
    <row r="591" spans="2:11">
      <c r="B591" s="1">
        <v>7010</v>
      </c>
      <c r="C591" s="4" t="s">
        <v>626</v>
      </c>
      <c r="D591" s="19">
        <f t="shared" si="9"/>
        <v>0</v>
      </c>
      <c r="E591" s="19">
        <f>SUMIF('C1'!$B$6:$B$2228,B591,'C1'!$D$6:$D$2228)</f>
        <v>0</v>
      </c>
      <c r="F591" s="19">
        <f>SUMIF('C2'!$B$6:$B$2228,B591,'C2'!$D$6:$D$2228)</f>
        <v>0</v>
      </c>
      <c r="G591" s="19">
        <f>SUMIF('C3'!$B$6:$B$2228,B591,'C3'!$D$6:$D$2228)</f>
        <v>0</v>
      </c>
      <c r="H591" s="22"/>
      <c r="I591" s="22"/>
      <c r="J591" s="4" t="s">
        <v>570</v>
      </c>
      <c r="K591" s="4" t="s">
        <v>624</v>
      </c>
    </row>
    <row r="592" spans="2:11">
      <c r="B592" s="1">
        <v>7088</v>
      </c>
      <c r="C592" s="4" t="s">
        <v>627</v>
      </c>
      <c r="D592" s="19">
        <f t="shared" si="9"/>
        <v>0</v>
      </c>
      <c r="E592" s="19">
        <f>SUMIF('C1'!$B$6:$B$2228,B592,'C1'!$D$6:$D$2228)</f>
        <v>0</v>
      </c>
      <c r="F592" s="19">
        <f>SUMIF('C2'!$B$6:$B$2228,B592,'C2'!$D$6:$D$2228)</f>
        <v>0</v>
      </c>
      <c r="G592" s="19">
        <f>SUMIF('C3'!$B$6:$B$2228,B592,'C3'!$D$6:$D$2228)</f>
        <v>0</v>
      </c>
      <c r="H592" s="22"/>
      <c r="I592" s="22"/>
      <c r="J592" s="4" t="s">
        <v>570</v>
      </c>
      <c r="K592" s="4" t="s">
        <v>628</v>
      </c>
    </row>
    <row r="593" spans="2:11">
      <c r="B593" s="1">
        <v>7089</v>
      </c>
      <c r="C593" s="4" t="s">
        <v>629</v>
      </c>
      <c r="D593" s="19">
        <f t="shared" si="9"/>
        <v>0</v>
      </c>
      <c r="E593" s="19">
        <f>SUMIF('C1'!$B$6:$B$2228,B593,'C1'!$D$6:$D$2228)</f>
        <v>0</v>
      </c>
      <c r="F593" s="19">
        <f>SUMIF('C2'!$B$6:$B$2228,B593,'C2'!$D$6:$D$2228)</f>
        <v>0</v>
      </c>
      <c r="G593" s="19">
        <f>SUMIF('C3'!$B$6:$B$2228,B593,'C3'!$D$6:$D$2228)</f>
        <v>0</v>
      </c>
      <c r="H593" s="22"/>
      <c r="I593" s="22"/>
      <c r="J593" s="4" t="s">
        <v>570</v>
      </c>
      <c r="K593" s="4" t="s">
        <v>628</v>
      </c>
    </row>
    <row r="594" spans="2:11">
      <c r="B594" s="1">
        <v>7090</v>
      </c>
      <c r="C594" s="4" t="s">
        <v>630</v>
      </c>
      <c r="D594" s="19">
        <f t="shared" si="9"/>
        <v>0</v>
      </c>
      <c r="E594" s="19">
        <f>SUMIF('C1'!$B$6:$B$2228,B594,'C1'!$D$6:$D$2228)</f>
        <v>0</v>
      </c>
      <c r="F594" s="19">
        <f>SUMIF('C2'!$B$6:$B$2228,B594,'C2'!$D$6:$D$2228)</f>
        <v>0</v>
      </c>
      <c r="G594" s="19">
        <f>SUMIF('C3'!$B$6:$B$2228,B594,'C3'!$D$6:$D$2228)</f>
        <v>0</v>
      </c>
      <c r="H594" s="22"/>
      <c r="I594" s="22"/>
      <c r="J594" s="4" t="s">
        <v>570</v>
      </c>
      <c r="K594" s="4" t="s">
        <v>628</v>
      </c>
    </row>
    <row r="595" spans="2:11">
      <c r="B595" s="1">
        <v>7174</v>
      </c>
      <c r="C595" s="4" t="s">
        <v>631</v>
      </c>
      <c r="D595" s="19">
        <f t="shared" si="9"/>
        <v>0</v>
      </c>
      <c r="E595" s="19">
        <f>SUMIF('C1'!$B$6:$B$2228,B595,'C1'!$D$6:$D$2228)</f>
        <v>0</v>
      </c>
      <c r="F595" s="19">
        <f>SUMIF('C2'!$B$6:$B$2228,B595,'C2'!$D$6:$D$2228)</f>
        <v>0</v>
      </c>
      <c r="G595" s="19">
        <f>SUMIF('C3'!$B$6:$B$2228,B595,'C3'!$D$6:$D$2228)</f>
        <v>0</v>
      </c>
      <c r="H595" s="22"/>
      <c r="I595" s="22"/>
      <c r="J595" s="4" t="s">
        <v>570</v>
      </c>
      <c r="K595" s="4" t="s">
        <v>632</v>
      </c>
    </row>
    <row r="596" spans="2:11">
      <c r="B596" s="1">
        <v>7175</v>
      </c>
      <c r="C596" s="4" t="s">
        <v>633</v>
      </c>
      <c r="D596" s="19">
        <f t="shared" si="9"/>
        <v>0</v>
      </c>
      <c r="E596" s="19">
        <f>SUMIF('C1'!$B$6:$B$2228,B596,'C1'!$D$6:$D$2228)</f>
        <v>0</v>
      </c>
      <c r="F596" s="19">
        <f>SUMIF('C2'!$B$6:$B$2228,B596,'C2'!$D$6:$D$2228)</f>
        <v>0</v>
      </c>
      <c r="G596" s="19">
        <f>SUMIF('C3'!$B$6:$B$2228,B596,'C3'!$D$6:$D$2228)</f>
        <v>0</v>
      </c>
      <c r="H596" s="22"/>
      <c r="I596" s="22"/>
      <c r="J596" s="4" t="s">
        <v>570</v>
      </c>
      <c r="K596" s="4" t="s">
        <v>632</v>
      </c>
    </row>
    <row r="597" spans="2:11">
      <c r="B597" s="1">
        <v>7176</v>
      </c>
      <c r="C597" s="4" t="s">
        <v>634</v>
      </c>
      <c r="D597" s="19">
        <f t="shared" si="9"/>
        <v>0</v>
      </c>
      <c r="E597" s="19">
        <f>SUMIF('C1'!$B$6:$B$2228,B597,'C1'!$D$6:$D$2228)</f>
        <v>0</v>
      </c>
      <c r="F597" s="19">
        <f>SUMIF('C2'!$B$6:$B$2228,B597,'C2'!$D$6:$D$2228)</f>
        <v>0</v>
      </c>
      <c r="G597" s="19">
        <f>SUMIF('C3'!$B$6:$B$2228,B597,'C3'!$D$6:$D$2228)</f>
        <v>0</v>
      </c>
      <c r="H597" s="22"/>
      <c r="I597" s="22"/>
      <c r="J597" s="4" t="s">
        <v>570</v>
      </c>
      <c r="K597" s="4" t="s">
        <v>632</v>
      </c>
    </row>
    <row r="598" spans="2:11">
      <c r="B598" s="1">
        <v>17088</v>
      </c>
      <c r="C598" s="4" t="s">
        <v>635</v>
      </c>
      <c r="D598" s="19">
        <f t="shared" si="9"/>
        <v>0</v>
      </c>
      <c r="E598" s="19">
        <f>SUMIF('C1'!$B$6:$B$2228,B598,'C1'!$D$6:$D$2228)</f>
        <v>0</v>
      </c>
      <c r="F598" s="19">
        <f>SUMIF('C2'!$B$6:$B$2228,B598,'C2'!$D$6:$D$2228)</f>
        <v>0</v>
      </c>
      <c r="G598" s="19">
        <f>SUMIF('C3'!$B$6:$B$2228,B598,'C3'!$D$6:$D$2228)</f>
        <v>0</v>
      </c>
      <c r="H598" s="22"/>
      <c r="I598" s="22"/>
      <c r="J598" s="4" t="s">
        <v>570</v>
      </c>
      <c r="K598" s="4" t="s">
        <v>628</v>
      </c>
    </row>
    <row r="599" spans="2:11">
      <c r="B599" s="1">
        <v>17089</v>
      </c>
      <c r="C599" s="4" t="s">
        <v>636</v>
      </c>
      <c r="D599" s="19">
        <f t="shared" si="9"/>
        <v>0</v>
      </c>
      <c r="E599" s="19">
        <f>SUMIF('C1'!$B$6:$B$2228,B599,'C1'!$D$6:$D$2228)</f>
        <v>0</v>
      </c>
      <c r="F599" s="19">
        <f>SUMIF('C2'!$B$6:$B$2228,B599,'C2'!$D$6:$D$2228)</f>
        <v>0</v>
      </c>
      <c r="G599" s="19">
        <f>SUMIF('C3'!$B$6:$B$2228,B599,'C3'!$D$6:$D$2228)</f>
        <v>0</v>
      </c>
      <c r="H599" s="22"/>
      <c r="I599" s="22"/>
      <c r="J599" s="4" t="s">
        <v>570</v>
      </c>
      <c r="K599" s="4" t="s">
        <v>628</v>
      </c>
    </row>
    <row r="600" spans="2:11">
      <c r="B600" s="1">
        <v>17090</v>
      </c>
      <c r="C600" s="4" t="s">
        <v>637</v>
      </c>
      <c r="D600" s="19">
        <f t="shared" si="9"/>
        <v>0</v>
      </c>
      <c r="E600" s="19">
        <f>SUMIF('C1'!$B$6:$B$2228,B600,'C1'!$D$6:$D$2228)</f>
        <v>0</v>
      </c>
      <c r="F600" s="19">
        <f>SUMIF('C2'!$B$6:$B$2228,B600,'C2'!$D$6:$D$2228)</f>
        <v>0</v>
      </c>
      <c r="G600" s="19">
        <f>SUMIF('C3'!$B$6:$B$2228,B600,'C3'!$D$6:$D$2228)</f>
        <v>0</v>
      </c>
      <c r="H600" s="22"/>
      <c r="I600" s="22"/>
      <c r="J600" s="4" t="s">
        <v>570</v>
      </c>
      <c r="K600" s="4" t="s">
        <v>628</v>
      </c>
    </row>
    <row r="601" spans="2:11">
      <c r="B601" s="1">
        <v>17174</v>
      </c>
      <c r="C601" s="4" t="s">
        <v>638</v>
      </c>
      <c r="D601" s="19">
        <f t="shared" si="9"/>
        <v>0</v>
      </c>
      <c r="E601" s="19">
        <f>SUMIF('C1'!$B$6:$B$2228,B601,'C1'!$D$6:$D$2228)</f>
        <v>0</v>
      </c>
      <c r="F601" s="19">
        <f>SUMIF('C2'!$B$6:$B$2228,B601,'C2'!$D$6:$D$2228)</f>
        <v>0</v>
      </c>
      <c r="G601" s="19">
        <f>SUMIF('C3'!$B$6:$B$2228,B601,'C3'!$D$6:$D$2228)</f>
        <v>0</v>
      </c>
      <c r="H601" s="22"/>
      <c r="I601" s="22"/>
      <c r="J601" s="4" t="s">
        <v>570</v>
      </c>
      <c r="K601" s="4" t="s">
        <v>632</v>
      </c>
    </row>
    <row r="602" spans="2:11">
      <c r="B602" s="1">
        <v>17175</v>
      </c>
      <c r="C602" s="4" t="s">
        <v>639</v>
      </c>
      <c r="D602" s="19">
        <f t="shared" si="9"/>
        <v>0</v>
      </c>
      <c r="E602" s="19">
        <f>SUMIF('C1'!$B$6:$B$2228,B602,'C1'!$D$6:$D$2228)</f>
        <v>0</v>
      </c>
      <c r="F602" s="19">
        <f>SUMIF('C2'!$B$6:$B$2228,B602,'C2'!$D$6:$D$2228)</f>
        <v>0</v>
      </c>
      <c r="G602" s="19">
        <f>SUMIF('C3'!$B$6:$B$2228,B602,'C3'!$D$6:$D$2228)</f>
        <v>0</v>
      </c>
      <c r="H602" s="22"/>
      <c r="I602" s="22"/>
      <c r="J602" s="4" t="s">
        <v>570</v>
      </c>
      <c r="K602" s="4" t="s">
        <v>632</v>
      </c>
    </row>
    <row r="603" spans="2:11">
      <c r="B603" s="1">
        <v>17176</v>
      </c>
      <c r="C603" s="4" t="s">
        <v>640</v>
      </c>
      <c r="D603" s="19">
        <f t="shared" si="9"/>
        <v>0</v>
      </c>
      <c r="E603" s="19">
        <f>SUMIF('C1'!$B$6:$B$2228,B603,'C1'!$D$6:$D$2228)</f>
        <v>0</v>
      </c>
      <c r="F603" s="19">
        <f>SUMIF('C2'!$B$6:$B$2228,B603,'C2'!$D$6:$D$2228)</f>
        <v>0</v>
      </c>
      <c r="G603" s="19">
        <f>SUMIF('C3'!$B$6:$B$2228,B603,'C3'!$D$6:$D$2228)</f>
        <v>0</v>
      </c>
      <c r="H603" s="22"/>
      <c r="I603" s="22"/>
      <c r="J603" s="4" t="s">
        <v>570</v>
      </c>
      <c r="K603" s="4" t="s">
        <v>632</v>
      </c>
    </row>
    <row r="604" spans="2:11">
      <c r="B604" s="1">
        <v>20002</v>
      </c>
      <c r="C604" s="4" t="s">
        <v>641</v>
      </c>
      <c r="D604" s="19">
        <f t="shared" si="9"/>
        <v>0</v>
      </c>
      <c r="E604" s="19">
        <f>SUMIF('C1'!$B$6:$B$2228,B604,'C1'!$D$6:$D$2228)</f>
        <v>0</v>
      </c>
      <c r="F604" s="19">
        <f>SUMIF('C2'!$B$6:$B$2228,B604,'C2'!$D$6:$D$2228)</f>
        <v>0</v>
      </c>
      <c r="G604" s="19">
        <f>SUMIF('C3'!$B$6:$B$2228,B604,'C3'!$D$6:$D$2228)</f>
        <v>0</v>
      </c>
      <c r="H604" s="22"/>
      <c r="I604" s="22"/>
      <c r="J604" s="4" t="s">
        <v>613</v>
      </c>
      <c r="K604" s="4" t="s">
        <v>614</v>
      </c>
    </row>
    <row r="605" spans="2:11">
      <c r="B605" s="1">
        <v>21000</v>
      </c>
      <c r="C605" s="4" t="s">
        <v>642</v>
      </c>
      <c r="D605" s="19">
        <f t="shared" si="9"/>
        <v>0</v>
      </c>
      <c r="E605" s="19">
        <f>SUMIF('C1'!$B$6:$B$2228,B605,'C1'!$D$6:$D$2228)</f>
        <v>0</v>
      </c>
      <c r="F605" s="19">
        <f>SUMIF('C2'!$B$6:$B$2228,B605,'C2'!$D$6:$D$2228)</f>
        <v>0</v>
      </c>
      <c r="G605" s="19">
        <f>SUMIF('C3'!$B$6:$B$2228,B605,'C3'!$D$6:$D$2228)</f>
        <v>0</v>
      </c>
      <c r="H605" s="22"/>
      <c r="I605" s="22"/>
      <c r="J605" s="4" t="s">
        <v>570</v>
      </c>
      <c r="K605" s="4" t="s">
        <v>571</v>
      </c>
    </row>
    <row r="606" spans="2:11">
      <c r="B606" s="1">
        <v>21001</v>
      </c>
      <c r="C606" s="4" t="s">
        <v>643</v>
      </c>
      <c r="D606" s="19">
        <f t="shared" si="9"/>
        <v>0</v>
      </c>
      <c r="E606" s="19">
        <f>SUMIF('C1'!$B$6:$B$2228,B606,'C1'!$D$6:$D$2228)</f>
        <v>0</v>
      </c>
      <c r="F606" s="19">
        <f>SUMIF('C2'!$B$6:$B$2228,B606,'C2'!$D$6:$D$2228)</f>
        <v>0</v>
      </c>
      <c r="G606" s="19">
        <f>SUMIF('C3'!$B$6:$B$2228,B606,'C3'!$D$6:$D$2228)</f>
        <v>0</v>
      </c>
      <c r="H606" s="22"/>
      <c r="I606" s="22"/>
      <c r="J606" s="4" t="s">
        <v>570</v>
      </c>
      <c r="K606" s="4" t="s">
        <v>571</v>
      </c>
    </row>
    <row r="607" spans="2:11">
      <c r="B607" s="1">
        <v>21002</v>
      </c>
      <c r="C607" s="4" t="s">
        <v>644</v>
      </c>
      <c r="D607" s="19">
        <f t="shared" si="9"/>
        <v>0</v>
      </c>
      <c r="E607" s="19">
        <f>SUMIF('C1'!$B$6:$B$2228,B607,'C1'!$D$6:$D$2228)</f>
        <v>0</v>
      </c>
      <c r="F607" s="19">
        <f>SUMIF('C2'!$B$6:$B$2228,B607,'C2'!$D$6:$D$2228)</f>
        <v>0</v>
      </c>
      <c r="G607" s="19">
        <f>SUMIF('C3'!$B$6:$B$2228,B607,'C3'!$D$6:$D$2228)</f>
        <v>0</v>
      </c>
      <c r="H607" s="22"/>
      <c r="I607" s="22"/>
      <c r="J607" s="4" t="s">
        <v>570</v>
      </c>
      <c r="K607" s="4" t="s">
        <v>571</v>
      </c>
    </row>
    <row r="608" spans="2:11">
      <c r="B608" s="1">
        <v>21003</v>
      </c>
      <c r="C608" s="4" t="s">
        <v>645</v>
      </c>
      <c r="D608" s="19">
        <f t="shared" si="9"/>
        <v>0</v>
      </c>
      <c r="E608" s="19">
        <f>SUMIF('C1'!$B$6:$B$2228,B608,'C1'!$D$6:$D$2228)</f>
        <v>0</v>
      </c>
      <c r="F608" s="19">
        <f>SUMIF('C2'!$B$6:$B$2228,B608,'C2'!$D$6:$D$2228)</f>
        <v>0</v>
      </c>
      <c r="G608" s="19">
        <f>SUMIF('C3'!$B$6:$B$2228,B608,'C3'!$D$6:$D$2228)</f>
        <v>0</v>
      </c>
      <c r="H608" s="22"/>
      <c r="I608" s="22"/>
      <c r="J608" s="4" t="s">
        <v>570</v>
      </c>
      <c r="K608" s="4" t="s">
        <v>571</v>
      </c>
    </row>
    <row r="609" spans="2:11">
      <c r="B609" s="1">
        <v>21004</v>
      </c>
      <c r="C609" s="4" t="s">
        <v>646</v>
      </c>
      <c r="D609" s="19">
        <f t="shared" si="9"/>
        <v>0</v>
      </c>
      <c r="E609" s="19">
        <f>SUMIF('C1'!$B$6:$B$2228,B609,'C1'!$D$6:$D$2228)</f>
        <v>0</v>
      </c>
      <c r="F609" s="19">
        <f>SUMIF('C2'!$B$6:$B$2228,B609,'C2'!$D$6:$D$2228)</f>
        <v>0</v>
      </c>
      <c r="G609" s="19">
        <f>SUMIF('C3'!$B$6:$B$2228,B609,'C3'!$D$6:$D$2228)</f>
        <v>0</v>
      </c>
      <c r="H609" s="22"/>
      <c r="I609" s="22"/>
      <c r="J609" s="4" t="s">
        <v>570</v>
      </c>
      <c r="K609" s="4" t="s">
        <v>571</v>
      </c>
    </row>
    <row r="610" spans="2:11">
      <c r="B610" s="1">
        <v>21005</v>
      </c>
      <c r="C610" s="4" t="s">
        <v>647</v>
      </c>
      <c r="D610" s="19">
        <f t="shared" si="9"/>
        <v>0</v>
      </c>
      <c r="E610" s="19">
        <f>SUMIF('C1'!$B$6:$B$2228,B610,'C1'!$D$6:$D$2228)</f>
        <v>0</v>
      </c>
      <c r="F610" s="19">
        <f>SUMIF('C2'!$B$6:$B$2228,B610,'C2'!$D$6:$D$2228)</f>
        <v>0</v>
      </c>
      <c r="G610" s="19">
        <f>SUMIF('C3'!$B$6:$B$2228,B610,'C3'!$D$6:$D$2228)</f>
        <v>0</v>
      </c>
      <c r="H610" s="22"/>
      <c r="I610" s="22"/>
      <c r="J610" s="4" t="s">
        <v>570</v>
      </c>
      <c r="K610" s="4" t="s">
        <v>571</v>
      </c>
    </row>
    <row r="611" spans="2:11">
      <c r="B611" s="1">
        <v>21006</v>
      </c>
      <c r="C611" s="4" t="s">
        <v>648</v>
      </c>
      <c r="D611" s="19">
        <f t="shared" si="9"/>
        <v>0</v>
      </c>
      <c r="E611" s="19">
        <f>SUMIF('C1'!$B$6:$B$2228,B611,'C1'!$D$6:$D$2228)</f>
        <v>0</v>
      </c>
      <c r="F611" s="19">
        <f>SUMIF('C2'!$B$6:$B$2228,B611,'C2'!$D$6:$D$2228)</f>
        <v>0</v>
      </c>
      <c r="G611" s="19">
        <f>SUMIF('C3'!$B$6:$B$2228,B611,'C3'!$D$6:$D$2228)</f>
        <v>0</v>
      </c>
      <c r="H611" s="22"/>
      <c r="I611" s="22"/>
      <c r="J611" s="4" t="s">
        <v>570</v>
      </c>
      <c r="K611" s="4" t="s">
        <v>571</v>
      </c>
    </row>
    <row r="612" spans="2:11">
      <c r="B612" s="1">
        <v>21007</v>
      </c>
      <c r="C612" s="4" t="s">
        <v>578</v>
      </c>
      <c r="D612" s="19">
        <f t="shared" si="9"/>
        <v>0</v>
      </c>
      <c r="E612" s="19">
        <f>SUMIF('C1'!$B$6:$B$2228,B612,'C1'!$D$6:$D$2228)</f>
        <v>0</v>
      </c>
      <c r="F612" s="19">
        <f>SUMIF('C2'!$B$6:$B$2228,B612,'C2'!$D$6:$D$2228)</f>
        <v>0</v>
      </c>
      <c r="G612" s="19">
        <f>SUMIF('C3'!$B$6:$B$2228,B612,'C3'!$D$6:$D$2228)</f>
        <v>0</v>
      </c>
      <c r="H612" s="22"/>
      <c r="I612" s="22"/>
      <c r="J612" s="4" t="s">
        <v>570</v>
      </c>
      <c r="K612" s="4" t="s">
        <v>571</v>
      </c>
    </row>
    <row r="613" spans="2:11">
      <c r="B613" s="1">
        <v>21008</v>
      </c>
      <c r="C613" s="4" t="s">
        <v>649</v>
      </c>
      <c r="D613" s="19">
        <f t="shared" si="9"/>
        <v>0</v>
      </c>
      <c r="E613" s="19">
        <f>SUMIF('C1'!$B$6:$B$2228,B613,'C1'!$D$6:$D$2228)</f>
        <v>0</v>
      </c>
      <c r="F613" s="19">
        <f>SUMIF('C2'!$B$6:$B$2228,B613,'C2'!$D$6:$D$2228)</f>
        <v>0</v>
      </c>
      <c r="G613" s="19">
        <f>SUMIF('C3'!$B$6:$B$2228,B613,'C3'!$D$6:$D$2228)</f>
        <v>0</v>
      </c>
      <c r="H613" s="22"/>
      <c r="I613" s="22"/>
      <c r="J613" s="4" t="s">
        <v>570</v>
      </c>
      <c r="K613" s="4" t="s">
        <v>571</v>
      </c>
    </row>
    <row r="614" spans="2:11">
      <c r="B614" s="1">
        <v>21009</v>
      </c>
      <c r="C614" s="4" t="s">
        <v>650</v>
      </c>
      <c r="D614" s="19">
        <f t="shared" si="9"/>
        <v>0</v>
      </c>
      <c r="E614" s="19">
        <f>SUMIF('C1'!$B$6:$B$2228,B614,'C1'!$D$6:$D$2228)</f>
        <v>0</v>
      </c>
      <c r="F614" s="19">
        <f>SUMIF('C2'!$B$6:$B$2228,B614,'C2'!$D$6:$D$2228)</f>
        <v>0</v>
      </c>
      <c r="G614" s="19">
        <f>SUMIF('C3'!$B$6:$B$2228,B614,'C3'!$D$6:$D$2228)</f>
        <v>0</v>
      </c>
      <c r="H614" s="22"/>
      <c r="I614" s="22"/>
      <c r="J614" s="4" t="s">
        <v>570</v>
      </c>
      <c r="K614" s="4" t="s">
        <v>571</v>
      </c>
    </row>
    <row r="615" spans="2:11">
      <c r="B615" s="1">
        <v>21010</v>
      </c>
      <c r="C615" s="4" t="s">
        <v>651</v>
      </c>
      <c r="D615" s="19">
        <f t="shared" si="9"/>
        <v>0</v>
      </c>
      <c r="E615" s="19">
        <f>SUMIF('C1'!$B$6:$B$2228,B615,'C1'!$D$6:$D$2228)</f>
        <v>0</v>
      </c>
      <c r="F615" s="19">
        <f>SUMIF('C2'!$B$6:$B$2228,B615,'C2'!$D$6:$D$2228)</f>
        <v>0</v>
      </c>
      <c r="G615" s="19">
        <f>SUMIF('C3'!$B$6:$B$2228,B615,'C3'!$D$6:$D$2228)</f>
        <v>0</v>
      </c>
      <c r="H615" s="22"/>
      <c r="I615" s="22"/>
      <c r="J615" s="4" t="s">
        <v>570</v>
      </c>
      <c r="K615" s="4" t="s">
        <v>571</v>
      </c>
    </row>
    <row r="616" spans="2:11">
      <c r="B616" s="1">
        <v>21011</v>
      </c>
      <c r="C616" s="4" t="s">
        <v>652</v>
      </c>
      <c r="D616" s="19">
        <f t="shared" si="9"/>
        <v>0</v>
      </c>
      <c r="E616" s="19">
        <f>SUMIF('C1'!$B$6:$B$2228,B616,'C1'!$D$6:$D$2228)</f>
        <v>0</v>
      </c>
      <c r="F616" s="19">
        <f>SUMIF('C2'!$B$6:$B$2228,B616,'C2'!$D$6:$D$2228)</f>
        <v>0</v>
      </c>
      <c r="G616" s="19">
        <f>SUMIF('C3'!$B$6:$B$2228,B616,'C3'!$D$6:$D$2228)</f>
        <v>0</v>
      </c>
      <c r="H616" s="22"/>
      <c r="I616" s="22"/>
      <c r="J616" s="4" t="s">
        <v>570</v>
      </c>
      <c r="K616" s="4" t="s">
        <v>571</v>
      </c>
    </row>
    <row r="617" spans="2:11">
      <c r="B617" s="1">
        <v>21012</v>
      </c>
      <c r="C617" s="4" t="s">
        <v>653</v>
      </c>
      <c r="D617" s="19">
        <f t="shared" si="9"/>
        <v>0</v>
      </c>
      <c r="E617" s="19">
        <f>SUMIF('C1'!$B$6:$B$2228,B617,'C1'!$D$6:$D$2228)</f>
        <v>0</v>
      </c>
      <c r="F617" s="19">
        <f>SUMIF('C2'!$B$6:$B$2228,B617,'C2'!$D$6:$D$2228)</f>
        <v>0</v>
      </c>
      <c r="G617" s="19">
        <f>SUMIF('C3'!$B$6:$B$2228,B617,'C3'!$D$6:$D$2228)</f>
        <v>0</v>
      </c>
      <c r="H617" s="22"/>
      <c r="I617" s="22"/>
      <c r="J617" s="4" t="s">
        <v>570</v>
      </c>
      <c r="K617" s="4" t="s">
        <v>571</v>
      </c>
    </row>
    <row r="618" spans="2:11">
      <c r="B618" s="1">
        <v>21013</v>
      </c>
      <c r="C618" s="4" t="s">
        <v>654</v>
      </c>
      <c r="D618" s="19">
        <f t="shared" si="9"/>
        <v>0</v>
      </c>
      <c r="E618" s="19">
        <f>SUMIF('C1'!$B$6:$B$2228,B618,'C1'!$D$6:$D$2228)</f>
        <v>0</v>
      </c>
      <c r="F618" s="19">
        <f>SUMIF('C2'!$B$6:$B$2228,B618,'C2'!$D$6:$D$2228)</f>
        <v>0</v>
      </c>
      <c r="G618" s="19">
        <f>SUMIF('C3'!$B$6:$B$2228,B618,'C3'!$D$6:$D$2228)</f>
        <v>0</v>
      </c>
      <c r="H618" s="22"/>
      <c r="I618" s="22"/>
      <c r="J618" s="4" t="s">
        <v>570</v>
      </c>
      <c r="K618" s="4" t="s">
        <v>571</v>
      </c>
    </row>
    <row r="619" spans="2:11">
      <c r="B619" s="1">
        <v>21014</v>
      </c>
      <c r="C619" s="4" t="s">
        <v>655</v>
      </c>
      <c r="D619" s="19">
        <f t="shared" si="9"/>
        <v>0</v>
      </c>
      <c r="E619" s="19">
        <f>SUMIF('C1'!$B$6:$B$2228,B619,'C1'!$D$6:$D$2228)</f>
        <v>0</v>
      </c>
      <c r="F619" s="19">
        <f>SUMIF('C2'!$B$6:$B$2228,B619,'C2'!$D$6:$D$2228)</f>
        <v>0</v>
      </c>
      <c r="G619" s="19">
        <f>SUMIF('C3'!$B$6:$B$2228,B619,'C3'!$D$6:$D$2228)</f>
        <v>0</v>
      </c>
      <c r="H619" s="22"/>
      <c r="I619" s="22"/>
      <c r="J619" s="4" t="s">
        <v>570</v>
      </c>
      <c r="K619" s="4" t="s">
        <v>571</v>
      </c>
    </row>
    <row r="620" spans="2:11">
      <c r="B620" s="1">
        <v>21015</v>
      </c>
      <c r="C620" s="4" t="s">
        <v>656</v>
      </c>
      <c r="D620" s="19">
        <f t="shared" si="9"/>
        <v>0</v>
      </c>
      <c r="E620" s="19">
        <f>SUMIF('C1'!$B$6:$B$2228,B620,'C1'!$D$6:$D$2228)</f>
        <v>0</v>
      </c>
      <c r="F620" s="19">
        <f>SUMIF('C2'!$B$6:$B$2228,B620,'C2'!$D$6:$D$2228)</f>
        <v>0</v>
      </c>
      <c r="G620" s="19">
        <f>SUMIF('C3'!$B$6:$B$2228,B620,'C3'!$D$6:$D$2228)</f>
        <v>0</v>
      </c>
      <c r="H620" s="22"/>
      <c r="I620" s="22"/>
      <c r="J620" s="4" t="s">
        <v>570</v>
      </c>
      <c r="K620" s="4" t="s">
        <v>571</v>
      </c>
    </row>
    <row r="621" spans="2:11">
      <c r="B621" s="1">
        <v>21045</v>
      </c>
      <c r="C621" s="4" t="s">
        <v>657</v>
      </c>
      <c r="D621" s="19">
        <f t="shared" si="9"/>
        <v>0</v>
      </c>
      <c r="E621" s="19">
        <f>SUMIF('C1'!$B$6:$B$2228,B621,'C1'!$D$6:$D$2228)</f>
        <v>0</v>
      </c>
      <c r="F621" s="19">
        <f>SUMIF('C2'!$B$6:$B$2228,B621,'C2'!$D$6:$D$2228)</f>
        <v>0</v>
      </c>
      <c r="G621" s="19">
        <f>SUMIF('C3'!$B$6:$B$2228,B621,'C3'!$D$6:$D$2228)</f>
        <v>0</v>
      </c>
      <c r="H621" s="22"/>
      <c r="I621" s="22"/>
      <c r="J621" s="4" t="s">
        <v>570</v>
      </c>
      <c r="K621" s="4" t="s">
        <v>571</v>
      </c>
    </row>
    <row r="622" spans="2:11">
      <c r="B622" s="1">
        <v>21054</v>
      </c>
      <c r="C622" s="4" t="s">
        <v>658</v>
      </c>
      <c r="D622" s="19">
        <f t="shared" si="9"/>
        <v>0</v>
      </c>
      <c r="E622" s="19">
        <f>SUMIF('C1'!$B$6:$B$2228,B622,'C1'!$D$6:$D$2228)</f>
        <v>0</v>
      </c>
      <c r="F622" s="19">
        <f>SUMIF('C2'!$B$6:$B$2228,B622,'C2'!$D$6:$D$2228)</f>
        <v>0</v>
      </c>
      <c r="G622" s="19">
        <f>SUMIF('C3'!$B$6:$B$2228,B622,'C3'!$D$6:$D$2228)</f>
        <v>0</v>
      </c>
      <c r="H622" s="22"/>
      <c r="I622" s="22"/>
      <c r="J622" s="4" t="s">
        <v>570</v>
      </c>
      <c r="K622" s="4" t="s">
        <v>571</v>
      </c>
    </row>
    <row r="623" spans="2:11">
      <c r="B623" s="1">
        <v>21055</v>
      </c>
      <c r="C623" s="4" t="s">
        <v>659</v>
      </c>
      <c r="D623" s="19">
        <f t="shared" si="9"/>
        <v>0</v>
      </c>
      <c r="E623" s="19">
        <f>SUMIF('C1'!$B$6:$B$2228,B623,'C1'!$D$6:$D$2228)</f>
        <v>0</v>
      </c>
      <c r="F623" s="19">
        <f>SUMIF('C2'!$B$6:$B$2228,B623,'C2'!$D$6:$D$2228)</f>
        <v>0</v>
      </c>
      <c r="G623" s="19">
        <f>SUMIF('C3'!$B$6:$B$2228,B623,'C3'!$D$6:$D$2228)</f>
        <v>0</v>
      </c>
      <c r="H623" s="22"/>
      <c r="I623" s="22"/>
      <c r="J623" s="4" t="s">
        <v>570</v>
      </c>
      <c r="K623" s="4" t="s">
        <v>571</v>
      </c>
    </row>
    <row r="624" spans="2:11">
      <c r="B624" s="1">
        <v>21102</v>
      </c>
      <c r="C624" s="4" t="s">
        <v>660</v>
      </c>
      <c r="D624" s="19">
        <f t="shared" si="9"/>
        <v>0</v>
      </c>
      <c r="E624" s="19">
        <f>SUMIF('C1'!$B$6:$B$2228,B624,'C1'!$D$6:$D$2228)</f>
        <v>0</v>
      </c>
      <c r="F624" s="19">
        <f>SUMIF('C2'!$B$6:$B$2228,B624,'C2'!$D$6:$D$2228)</f>
        <v>0</v>
      </c>
      <c r="G624" s="19">
        <f>SUMIF('C3'!$B$6:$B$2228,B624,'C3'!$D$6:$D$2228)</f>
        <v>0</v>
      </c>
      <c r="H624" s="22"/>
      <c r="I624" s="22"/>
      <c r="J624" s="4" t="s">
        <v>570</v>
      </c>
      <c r="K624" s="4" t="s">
        <v>571</v>
      </c>
    </row>
    <row r="625" spans="2:11">
      <c r="B625" s="1">
        <v>21107</v>
      </c>
      <c r="C625" s="4" t="s">
        <v>661</v>
      </c>
      <c r="D625" s="19">
        <f t="shared" si="9"/>
        <v>0</v>
      </c>
      <c r="E625" s="19">
        <f>SUMIF('C1'!$B$6:$B$2228,B625,'C1'!$D$6:$D$2228)</f>
        <v>0</v>
      </c>
      <c r="F625" s="19">
        <f>SUMIF('C2'!$B$6:$B$2228,B625,'C2'!$D$6:$D$2228)</f>
        <v>0</v>
      </c>
      <c r="G625" s="19">
        <f>SUMIF('C3'!$B$6:$B$2228,B625,'C3'!$D$6:$D$2228)</f>
        <v>0</v>
      </c>
      <c r="H625" s="22"/>
      <c r="I625" s="22"/>
      <c r="J625" s="4" t="s">
        <v>570</v>
      </c>
      <c r="K625" s="4" t="s">
        <v>571</v>
      </c>
    </row>
    <row r="626" spans="2:11">
      <c r="B626" s="1">
        <v>21119</v>
      </c>
      <c r="C626" s="4" t="s">
        <v>662</v>
      </c>
      <c r="D626" s="19">
        <f t="shared" si="9"/>
        <v>0</v>
      </c>
      <c r="E626" s="19">
        <f>SUMIF('C1'!$B$6:$B$2228,B626,'C1'!$D$6:$D$2228)</f>
        <v>0</v>
      </c>
      <c r="F626" s="19">
        <f>SUMIF('C2'!$B$6:$B$2228,B626,'C2'!$D$6:$D$2228)</f>
        <v>0</v>
      </c>
      <c r="G626" s="19">
        <f>SUMIF('C3'!$B$6:$B$2228,B626,'C3'!$D$6:$D$2228)</f>
        <v>0</v>
      </c>
      <c r="H626" s="22"/>
      <c r="I626" s="22"/>
      <c r="J626" s="4" t="s">
        <v>570</v>
      </c>
      <c r="K626" s="4" t="s">
        <v>571</v>
      </c>
    </row>
    <row r="627" spans="2:11">
      <c r="B627" s="1">
        <v>21120</v>
      </c>
      <c r="C627" s="4" t="s">
        <v>663</v>
      </c>
      <c r="D627" s="19">
        <f t="shared" si="9"/>
        <v>0</v>
      </c>
      <c r="E627" s="19">
        <f>SUMIF('C1'!$B$6:$B$2228,B627,'C1'!$D$6:$D$2228)</f>
        <v>0</v>
      </c>
      <c r="F627" s="19">
        <f>SUMIF('C2'!$B$6:$B$2228,B627,'C2'!$D$6:$D$2228)</f>
        <v>0</v>
      </c>
      <c r="G627" s="19">
        <f>SUMIF('C3'!$B$6:$B$2228,B627,'C3'!$D$6:$D$2228)</f>
        <v>0</v>
      </c>
      <c r="H627" s="22"/>
      <c r="I627" s="22"/>
      <c r="J627" s="4" t="s">
        <v>570</v>
      </c>
      <c r="K627" s="4" t="s">
        <v>571</v>
      </c>
    </row>
    <row r="628" spans="2:11">
      <c r="B628" s="1">
        <v>21500</v>
      </c>
      <c r="C628" s="4" t="s">
        <v>664</v>
      </c>
      <c r="D628" s="19">
        <f t="shared" si="9"/>
        <v>0</v>
      </c>
      <c r="E628" s="19">
        <f>SUMIF('C1'!$B$6:$B$2228,B628,'C1'!$D$6:$D$2228)</f>
        <v>0</v>
      </c>
      <c r="F628" s="19">
        <f>SUMIF('C2'!$B$6:$B$2228,B628,'C2'!$D$6:$D$2228)</f>
        <v>0</v>
      </c>
      <c r="G628" s="19">
        <f>SUMIF('C3'!$B$6:$B$2228,B628,'C3'!$D$6:$D$2228)</f>
        <v>0</v>
      </c>
      <c r="H628" s="22"/>
      <c r="I628" s="22"/>
      <c r="J628" s="4" t="s">
        <v>595</v>
      </c>
      <c r="K628" s="4" t="s">
        <v>596</v>
      </c>
    </row>
    <row r="629" spans="2:11">
      <c r="B629" s="1">
        <v>21503</v>
      </c>
      <c r="C629" s="4" t="s">
        <v>665</v>
      </c>
      <c r="D629" s="19">
        <f t="shared" si="9"/>
        <v>0</v>
      </c>
      <c r="E629" s="19">
        <f>SUMIF('C1'!$B$6:$B$2228,B629,'C1'!$D$6:$D$2228)</f>
        <v>0</v>
      </c>
      <c r="F629" s="19">
        <f>SUMIF('C2'!$B$6:$B$2228,B629,'C2'!$D$6:$D$2228)</f>
        <v>0</v>
      </c>
      <c r="G629" s="19">
        <f>SUMIF('C3'!$B$6:$B$2228,B629,'C3'!$D$6:$D$2228)</f>
        <v>0</v>
      </c>
      <c r="H629" s="22"/>
      <c r="I629" s="22"/>
      <c r="J629" s="4" t="s">
        <v>595</v>
      </c>
      <c r="K629" s="4" t="s">
        <v>596</v>
      </c>
    </row>
    <row r="630" spans="2:11">
      <c r="B630" s="1">
        <v>21504</v>
      </c>
      <c r="C630" s="4" t="s">
        <v>666</v>
      </c>
      <c r="D630" s="19">
        <f t="shared" si="9"/>
        <v>0</v>
      </c>
      <c r="E630" s="19">
        <f>SUMIF('C1'!$B$6:$B$2228,B630,'C1'!$D$6:$D$2228)</f>
        <v>0</v>
      </c>
      <c r="F630" s="19">
        <f>SUMIF('C2'!$B$6:$B$2228,B630,'C2'!$D$6:$D$2228)</f>
        <v>0</v>
      </c>
      <c r="G630" s="19">
        <f>SUMIF('C3'!$B$6:$B$2228,B630,'C3'!$D$6:$D$2228)</f>
        <v>0</v>
      </c>
      <c r="H630" s="22"/>
      <c r="I630" s="22"/>
      <c r="J630" s="4" t="s">
        <v>595</v>
      </c>
      <c r="K630" s="4" t="s">
        <v>599</v>
      </c>
    </row>
    <row r="631" spans="2:11">
      <c r="B631" s="1">
        <v>21514</v>
      </c>
      <c r="C631" s="4" t="s">
        <v>667</v>
      </c>
      <c r="D631" s="19">
        <f t="shared" si="9"/>
        <v>0</v>
      </c>
      <c r="E631" s="19">
        <f>SUMIF('C1'!$B$6:$B$2228,B631,'C1'!$D$6:$D$2228)</f>
        <v>0</v>
      </c>
      <c r="F631" s="19">
        <f>SUMIF('C2'!$B$6:$B$2228,B631,'C2'!$D$6:$D$2228)</f>
        <v>0</v>
      </c>
      <c r="G631" s="19">
        <f>SUMIF('C3'!$B$6:$B$2228,B631,'C3'!$D$6:$D$2228)</f>
        <v>0</v>
      </c>
      <c r="H631" s="22"/>
      <c r="I631" s="22"/>
      <c r="J631" s="4" t="s">
        <v>595</v>
      </c>
      <c r="K631" s="4" t="s">
        <v>599</v>
      </c>
    </row>
    <row r="632" spans="2:11">
      <c r="B632" s="1">
        <v>21523</v>
      </c>
      <c r="C632" s="4" t="s">
        <v>668</v>
      </c>
      <c r="D632" s="19">
        <f t="shared" si="9"/>
        <v>0</v>
      </c>
      <c r="E632" s="19">
        <f>SUMIF('C1'!$B$6:$B$2228,B632,'C1'!$D$6:$D$2228)</f>
        <v>0</v>
      </c>
      <c r="F632" s="19">
        <f>SUMIF('C2'!$B$6:$B$2228,B632,'C2'!$D$6:$D$2228)</f>
        <v>0</v>
      </c>
      <c r="G632" s="19">
        <f>SUMIF('C3'!$B$6:$B$2228,B632,'C3'!$D$6:$D$2228)</f>
        <v>0</v>
      </c>
      <c r="H632" s="22"/>
      <c r="I632" s="22"/>
      <c r="J632" s="4" t="s">
        <v>595</v>
      </c>
      <c r="K632" s="4" t="s">
        <v>596</v>
      </c>
    </row>
    <row r="633" spans="2:11">
      <c r="B633" s="1">
        <v>21524</v>
      </c>
      <c r="C633" s="4" t="s">
        <v>669</v>
      </c>
      <c r="D633" s="19">
        <f t="shared" si="9"/>
        <v>0</v>
      </c>
      <c r="E633" s="19">
        <f>SUMIF('C1'!$B$6:$B$2228,B633,'C1'!$D$6:$D$2228)</f>
        <v>0</v>
      </c>
      <c r="F633" s="19">
        <f>SUMIF('C2'!$B$6:$B$2228,B633,'C2'!$D$6:$D$2228)</f>
        <v>0</v>
      </c>
      <c r="G633" s="19">
        <f>SUMIF('C3'!$B$6:$B$2228,B633,'C3'!$D$6:$D$2228)</f>
        <v>0</v>
      </c>
      <c r="H633" s="22"/>
      <c r="I633" s="22"/>
      <c r="J633" s="4" t="s">
        <v>595</v>
      </c>
      <c r="K633" s="4" t="s">
        <v>596</v>
      </c>
    </row>
    <row r="634" spans="2:11">
      <c r="B634" s="1">
        <v>21525</v>
      </c>
      <c r="C634" s="4" t="s">
        <v>670</v>
      </c>
      <c r="D634" s="19">
        <f t="shared" si="9"/>
        <v>0</v>
      </c>
      <c r="E634" s="19">
        <f>SUMIF('C1'!$B$6:$B$2228,B634,'C1'!$D$6:$D$2228)</f>
        <v>0</v>
      </c>
      <c r="F634" s="19">
        <f>SUMIF('C2'!$B$6:$B$2228,B634,'C2'!$D$6:$D$2228)</f>
        <v>0</v>
      </c>
      <c r="G634" s="19">
        <f>SUMIF('C3'!$B$6:$B$2228,B634,'C3'!$D$6:$D$2228)</f>
        <v>0</v>
      </c>
      <c r="H634" s="22"/>
      <c r="I634" s="22"/>
      <c r="J634" s="4" t="s">
        <v>595</v>
      </c>
      <c r="K634" s="4" t="s">
        <v>596</v>
      </c>
    </row>
    <row r="635" spans="2:11">
      <c r="B635" s="1">
        <v>21526</v>
      </c>
      <c r="C635" s="4" t="s">
        <v>671</v>
      </c>
      <c r="D635" s="19">
        <f t="shared" si="9"/>
        <v>0</v>
      </c>
      <c r="E635" s="19">
        <f>SUMIF('C1'!$B$6:$B$2228,B635,'C1'!$D$6:$D$2228)</f>
        <v>0</v>
      </c>
      <c r="F635" s="19">
        <f>SUMIF('C2'!$B$6:$B$2228,B635,'C2'!$D$6:$D$2228)</f>
        <v>0</v>
      </c>
      <c r="G635" s="19">
        <f>SUMIF('C3'!$B$6:$B$2228,B635,'C3'!$D$6:$D$2228)</f>
        <v>0</v>
      </c>
      <c r="H635" s="22"/>
      <c r="I635" s="22"/>
      <c r="J635" s="4" t="s">
        <v>595</v>
      </c>
      <c r="K635" s="4" t="s">
        <v>596</v>
      </c>
    </row>
    <row r="636" spans="2:11">
      <c r="B636" s="1">
        <v>21530</v>
      </c>
      <c r="C636" s="4" t="s">
        <v>672</v>
      </c>
      <c r="D636" s="19">
        <f t="shared" si="9"/>
        <v>0</v>
      </c>
      <c r="E636" s="19">
        <f>SUMIF('C1'!$B$6:$B$2228,B636,'C1'!$D$6:$D$2228)</f>
        <v>0</v>
      </c>
      <c r="F636" s="19">
        <f>SUMIF('C2'!$B$6:$B$2228,B636,'C2'!$D$6:$D$2228)</f>
        <v>0</v>
      </c>
      <c r="G636" s="19">
        <f>SUMIF('C3'!$B$6:$B$2228,B636,'C3'!$D$6:$D$2228)</f>
        <v>0</v>
      </c>
      <c r="H636" s="22"/>
      <c r="I636" s="22"/>
      <c r="J636" s="4" t="s">
        <v>595</v>
      </c>
      <c r="K636" s="4" t="s">
        <v>599</v>
      </c>
    </row>
    <row r="637" spans="2:11">
      <c r="B637" s="1">
        <v>21575</v>
      </c>
      <c r="C637" s="4" t="s">
        <v>673</v>
      </c>
      <c r="D637" s="19">
        <f t="shared" si="9"/>
        <v>0</v>
      </c>
      <c r="E637" s="19">
        <f>SUMIF('C1'!$B$6:$B$2228,B637,'C1'!$D$6:$D$2228)</f>
        <v>0</v>
      </c>
      <c r="F637" s="19">
        <f>SUMIF('C2'!$B$6:$B$2228,B637,'C2'!$D$6:$D$2228)</f>
        <v>0</v>
      </c>
      <c r="G637" s="19">
        <f>SUMIF('C3'!$B$6:$B$2228,B637,'C3'!$D$6:$D$2228)</f>
        <v>0</v>
      </c>
      <c r="H637" s="22"/>
      <c r="I637" s="22"/>
      <c r="J637" s="4" t="s">
        <v>595</v>
      </c>
      <c r="K637" s="4" t="s">
        <v>599</v>
      </c>
    </row>
    <row r="638" spans="2:11">
      <c r="B638" s="1">
        <v>21576</v>
      </c>
      <c r="C638" s="4" t="s">
        <v>674</v>
      </c>
      <c r="D638" s="19">
        <f t="shared" si="9"/>
        <v>0</v>
      </c>
      <c r="E638" s="19">
        <f>SUMIF('C1'!$B$6:$B$2228,B638,'C1'!$D$6:$D$2228)</f>
        <v>0</v>
      </c>
      <c r="F638" s="19">
        <f>SUMIF('C2'!$B$6:$B$2228,B638,'C2'!$D$6:$D$2228)</f>
        <v>0</v>
      </c>
      <c r="G638" s="19">
        <f>SUMIF('C3'!$B$6:$B$2228,B638,'C3'!$D$6:$D$2228)</f>
        <v>0</v>
      </c>
      <c r="H638" s="22"/>
      <c r="I638" s="22"/>
      <c r="J638" s="4" t="s">
        <v>595</v>
      </c>
      <c r="K638" s="4" t="s">
        <v>599</v>
      </c>
    </row>
    <row r="639" spans="2:11">
      <c r="B639" s="1">
        <v>21578</v>
      </c>
      <c r="C639" s="4" t="s">
        <v>675</v>
      </c>
      <c r="D639" s="19">
        <f t="shared" si="9"/>
        <v>0</v>
      </c>
      <c r="E639" s="19">
        <f>SUMIF('C1'!$B$6:$B$2228,B639,'C1'!$D$6:$D$2228)</f>
        <v>0</v>
      </c>
      <c r="F639" s="19">
        <f>SUMIF('C2'!$B$6:$B$2228,B639,'C2'!$D$6:$D$2228)</f>
        <v>0</v>
      </c>
      <c r="G639" s="19">
        <f>SUMIF('C3'!$B$6:$B$2228,B639,'C3'!$D$6:$D$2228)</f>
        <v>0</v>
      </c>
      <c r="H639" s="22"/>
      <c r="I639" s="22"/>
      <c r="J639" s="4" t="s">
        <v>595</v>
      </c>
      <c r="K639" s="4" t="s">
        <v>596</v>
      </c>
    </row>
    <row r="640" spans="2:11">
      <c r="B640" s="1">
        <v>21605</v>
      </c>
      <c r="C640" s="4" t="s">
        <v>676</v>
      </c>
      <c r="D640" s="19">
        <f t="shared" si="9"/>
        <v>0</v>
      </c>
      <c r="E640" s="19">
        <f>SUMIF('C1'!$B$6:$B$2228,B640,'C1'!$D$6:$D$2228)</f>
        <v>0</v>
      </c>
      <c r="F640" s="19">
        <f>SUMIF('C2'!$B$6:$B$2228,B640,'C2'!$D$6:$D$2228)</f>
        <v>0</v>
      </c>
      <c r="G640" s="19">
        <f>SUMIF('C3'!$B$6:$B$2228,B640,'C3'!$D$6:$D$2228)</f>
        <v>0</v>
      </c>
      <c r="H640" s="22"/>
      <c r="I640" s="22"/>
      <c r="J640" s="4" t="s">
        <v>595</v>
      </c>
      <c r="K640" s="4" t="s">
        <v>596</v>
      </c>
    </row>
    <row r="641" spans="2:11">
      <c r="B641" s="1">
        <v>21606</v>
      </c>
      <c r="C641" s="4" t="s">
        <v>677</v>
      </c>
      <c r="D641" s="19">
        <f t="shared" si="9"/>
        <v>0</v>
      </c>
      <c r="E641" s="19">
        <f>SUMIF('C1'!$B$6:$B$2228,B641,'C1'!$D$6:$D$2228)</f>
        <v>0</v>
      </c>
      <c r="F641" s="19">
        <f>SUMIF('C2'!$B$6:$B$2228,B641,'C2'!$D$6:$D$2228)</f>
        <v>0</v>
      </c>
      <c r="G641" s="19">
        <f>SUMIF('C3'!$B$6:$B$2228,B641,'C3'!$D$6:$D$2228)</f>
        <v>0</v>
      </c>
      <c r="H641" s="22"/>
      <c r="I641" s="22"/>
      <c r="J641" s="4" t="s">
        <v>595</v>
      </c>
      <c r="K641" s="4" t="s">
        <v>596</v>
      </c>
    </row>
    <row r="642" spans="2:11">
      <c r="B642" s="1">
        <v>21607</v>
      </c>
      <c r="C642" s="4" t="s">
        <v>678</v>
      </c>
      <c r="D642" s="19">
        <f t="shared" si="9"/>
        <v>0</v>
      </c>
      <c r="E642" s="19">
        <f>SUMIF('C1'!$B$6:$B$2228,B642,'C1'!$D$6:$D$2228)</f>
        <v>0</v>
      </c>
      <c r="F642" s="19">
        <f>SUMIF('C2'!$B$6:$B$2228,B642,'C2'!$D$6:$D$2228)</f>
        <v>0</v>
      </c>
      <c r="G642" s="19">
        <f>SUMIF('C3'!$B$6:$B$2228,B642,'C3'!$D$6:$D$2228)</f>
        <v>0</v>
      </c>
      <c r="H642" s="22"/>
      <c r="I642" s="22"/>
      <c r="J642" s="4" t="s">
        <v>595</v>
      </c>
      <c r="K642" s="4" t="s">
        <v>596</v>
      </c>
    </row>
    <row r="643" spans="2:11">
      <c r="B643" s="1">
        <v>22001</v>
      </c>
      <c r="C643" s="4" t="s">
        <v>679</v>
      </c>
      <c r="D643" s="19">
        <f t="shared" si="9"/>
        <v>0</v>
      </c>
      <c r="E643" s="19">
        <f>SUMIF('C1'!$B$6:$B$2228,B643,'C1'!$D$6:$D$2228)</f>
        <v>0</v>
      </c>
      <c r="F643" s="19">
        <f>SUMIF('C2'!$B$6:$B$2228,B643,'C2'!$D$6:$D$2228)</f>
        <v>0</v>
      </c>
      <c r="G643" s="19">
        <f>SUMIF('C3'!$B$6:$B$2228,B643,'C3'!$D$6:$D$2228)</f>
        <v>0</v>
      </c>
      <c r="H643" s="22"/>
      <c r="I643" s="22"/>
      <c r="J643" s="4" t="s">
        <v>613</v>
      </c>
      <c r="K643" s="4" t="s">
        <v>614</v>
      </c>
    </row>
    <row r="644" spans="2:11">
      <c r="B644" s="1">
        <v>22002</v>
      </c>
      <c r="C644" s="4" t="s">
        <v>680</v>
      </c>
      <c r="D644" s="19">
        <f t="shared" si="9"/>
        <v>0</v>
      </c>
      <c r="E644" s="19">
        <f>SUMIF('C1'!$B$6:$B$2228,B644,'C1'!$D$6:$D$2228)</f>
        <v>0</v>
      </c>
      <c r="F644" s="19">
        <f>SUMIF('C2'!$B$6:$B$2228,B644,'C2'!$D$6:$D$2228)</f>
        <v>0</v>
      </c>
      <c r="G644" s="19">
        <f>SUMIF('C3'!$B$6:$B$2228,B644,'C3'!$D$6:$D$2228)</f>
        <v>0</v>
      </c>
      <c r="H644" s="22"/>
      <c r="I644" s="22"/>
      <c r="J644" s="4" t="s">
        <v>613</v>
      </c>
      <c r="K644" s="4" t="s">
        <v>614</v>
      </c>
    </row>
    <row r="645" spans="2:11">
      <c r="B645" s="1">
        <v>22018</v>
      </c>
      <c r="C645" s="4" t="s">
        <v>681</v>
      </c>
      <c r="D645" s="19">
        <f t="shared" si="9"/>
        <v>0</v>
      </c>
      <c r="E645" s="19">
        <f>SUMIF('C1'!$B$6:$B$2228,B645,'C1'!$D$6:$D$2228)</f>
        <v>0</v>
      </c>
      <c r="F645" s="19">
        <f>SUMIF('C2'!$B$6:$B$2228,B645,'C2'!$D$6:$D$2228)</f>
        <v>0</v>
      </c>
      <c r="G645" s="19">
        <f>SUMIF('C3'!$B$6:$B$2228,B645,'C3'!$D$6:$D$2228)</f>
        <v>0</v>
      </c>
      <c r="H645" s="22"/>
      <c r="I645" s="22"/>
      <c r="J645" s="4" t="s">
        <v>613</v>
      </c>
      <c r="K645" s="4" t="s">
        <v>617</v>
      </c>
    </row>
    <row r="646" spans="2:11">
      <c r="B646" s="1">
        <v>22039</v>
      </c>
      <c r="C646" s="4" t="s">
        <v>682</v>
      </c>
      <c r="D646" s="19">
        <f t="shared" si="9"/>
        <v>0</v>
      </c>
      <c r="E646" s="19">
        <f>SUMIF('C1'!$B$6:$B$2228,B646,'C1'!$D$6:$D$2228)</f>
        <v>0</v>
      </c>
      <c r="F646" s="19">
        <f>SUMIF('C2'!$B$6:$B$2228,B646,'C2'!$D$6:$D$2228)</f>
        <v>0</v>
      </c>
      <c r="G646" s="19">
        <f>SUMIF('C3'!$B$6:$B$2228,B646,'C3'!$D$6:$D$2228)</f>
        <v>0</v>
      </c>
      <c r="H646" s="22"/>
      <c r="I646" s="22"/>
      <c r="J646" s="4" t="s">
        <v>613</v>
      </c>
      <c r="K646" s="4" t="s">
        <v>617</v>
      </c>
    </row>
    <row r="647" spans="2:11">
      <c r="B647" s="1">
        <v>22041</v>
      </c>
      <c r="C647" s="4" t="s">
        <v>683</v>
      </c>
      <c r="D647" s="19">
        <f t="shared" ref="D647:D710" si="10">SUM(E647:I647)</f>
        <v>0</v>
      </c>
      <c r="E647" s="19">
        <f>SUMIF('C1'!$B$6:$B$2228,B647,'C1'!$D$6:$D$2228)</f>
        <v>0</v>
      </c>
      <c r="F647" s="19">
        <f>SUMIF('C2'!$B$6:$B$2228,B647,'C2'!$D$6:$D$2228)</f>
        <v>0</v>
      </c>
      <c r="G647" s="19">
        <f>SUMIF('C3'!$B$6:$B$2228,B647,'C3'!$D$6:$D$2228)</f>
        <v>0</v>
      </c>
      <c r="H647" s="22"/>
      <c r="I647" s="22"/>
      <c r="J647" s="4" t="s">
        <v>613</v>
      </c>
      <c r="K647" s="4" t="s">
        <v>614</v>
      </c>
    </row>
    <row r="648" spans="2:11">
      <c r="B648" s="1">
        <v>22042</v>
      </c>
      <c r="C648" s="4" t="s">
        <v>684</v>
      </c>
      <c r="D648" s="19">
        <f t="shared" si="10"/>
        <v>0</v>
      </c>
      <c r="E648" s="19">
        <f>SUMIF('C1'!$B$6:$B$2228,B648,'C1'!$D$6:$D$2228)</f>
        <v>0</v>
      </c>
      <c r="F648" s="19">
        <f>SUMIF('C2'!$B$6:$B$2228,B648,'C2'!$D$6:$D$2228)</f>
        <v>0</v>
      </c>
      <c r="G648" s="19">
        <f>SUMIF('C3'!$B$6:$B$2228,B648,'C3'!$D$6:$D$2228)</f>
        <v>0</v>
      </c>
      <c r="H648" s="22"/>
      <c r="I648" s="22"/>
      <c r="J648" s="4" t="s">
        <v>613</v>
      </c>
      <c r="K648" s="4" t="s">
        <v>614</v>
      </c>
    </row>
    <row r="649" spans="2:11">
      <c r="B649" s="1">
        <v>22069</v>
      </c>
      <c r="C649" s="4" t="s">
        <v>685</v>
      </c>
      <c r="D649" s="19">
        <f t="shared" si="10"/>
        <v>0</v>
      </c>
      <c r="E649" s="19">
        <f>SUMIF('C1'!$B$6:$B$2228,B649,'C1'!$D$6:$D$2228)</f>
        <v>0</v>
      </c>
      <c r="F649" s="19">
        <f>SUMIF('C2'!$B$6:$B$2228,B649,'C2'!$D$6:$D$2228)</f>
        <v>0</v>
      </c>
      <c r="G649" s="19">
        <f>SUMIF('C3'!$B$6:$B$2228,B649,'C3'!$D$6:$D$2228)</f>
        <v>0</v>
      </c>
      <c r="H649" s="22"/>
      <c r="I649" s="22"/>
      <c r="J649" s="4" t="s">
        <v>613</v>
      </c>
      <c r="K649" s="4" t="s">
        <v>614</v>
      </c>
    </row>
    <row r="650" spans="2:11">
      <c r="B650" s="1">
        <v>22070</v>
      </c>
      <c r="C650" s="4" t="s">
        <v>686</v>
      </c>
      <c r="D650" s="19">
        <f t="shared" si="10"/>
        <v>0</v>
      </c>
      <c r="E650" s="19">
        <f>SUMIF('C1'!$B$6:$B$2228,B650,'C1'!$D$6:$D$2228)</f>
        <v>0</v>
      </c>
      <c r="F650" s="19">
        <f>SUMIF('C2'!$B$6:$B$2228,B650,'C2'!$D$6:$D$2228)</f>
        <v>0</v>
      </c>
      <c r="G650" s="19">
        <f>SUMIF('C3'!$B$6:$B$2228,B650,'C3'!$D$6:$D$2228)</f>
        <v>0</v>
      </c>
      <c r="H650" s="22"/>
      <c r="I650" s="22"/>
      <c r="J650" s="4" t="s">
        <v>613</v>
      </c>
      <c r="K650" s="4" t="s">
        <v>614</v>
      </c>
    </row>
    <row r="651" spans="2:11">
      <c r="B651" s="1">
        <v>27007</v>
      </c>
      <c r="C651" s="4" t="s">
        <v>687</v>
      </c>
      <c r="D651" s="19">
        <f t="shared" si="10"/>
        <v>0</v>
      </c>
      <c r="E651" s="19">
        <f>SUMIF('C1'!$B$6:$B$2228,B651,'C1'!$D$6:$D$2228)</f>
        <v>0</v>
      </c>
      <c r="F651" s="19">
        <f>SUMIF('C2'!$B$6:$B$2228,B651,'C2'!$D$6:$D$2228)</f>
        <v>0</v>
      </c>
      <c r="G651" s="19">
        <f>SUMIF('C3'!$B$6:$B$2228,B651,'C3'!$D$6:$D$2228)</f>
        <v>0</v>
      </c>
      <c r="H651" s="22"/>
      <c r="I651" s="22"/>
      <c r="J651" s="4" t="s">
        <v>570</v>
      </c>
      <c r="K651" s="4" t="s">
        <v>624</v>
      </c>
    </row>
    <row r="652" spans="2:11">
      <c r="B652" s="1">
        <v>27009</v>
      </c>
      <c r="C652" s="4" t="s">
        <v>688</v>
      </c>
      <c r="D652" s="19">
        <f t="shared" si="10"/>
        <v>0</v>
      </c>
      <c r="E652" s="19">
        <f>SUMIF('C1'!$B$6:$B$2228,B652,'C1'!$D$6:$D$2228)</f>
        <v>0</v>
      </c>
      <c r="F652" s="19">
        <f>SUMIF('C2'!$B$6:$B$2228,B652,'C2'!$D$6:$D$2228)</f>
        <v>0</v>
      </c>
      <c r="G652" s="19">
        <f>SUMIF('C3'!$B$6:$B$2228,B652,'C3'!$D$6:$D$2228)</f>
        <v>0</v>
      </c>
      <c r="H652" s="22"/>
      <c r="I652" s="22"/>
      <c r="J652" s="4" t="s">
        <v>570</v>
      </c>
      <c r="K652" s="4" t="s">
        <v>624</v>
      </c>
    </row>
    <row r="653" spans="2:11">
      <c r="B653" s="1">
        <v>27010</v>
      </c>
      <c r="C653" s="4" t="s">
        <v>689</v>
      </c>
      <c r="D653" s="19">
        <f t="shared" si="10"/>
        <v>0</v>
      </c>
      <c r="E653" s="19">
        <f>SUMIF('C1'!$B$6:$B$2228,B653,'C1'!$D$6:$D$2228)</f>
        <v>0</v>
      </c>
      <c r="F653" s="19">
        <f>SUMIF('C2'!$B$6:$B$2228,B653,'C2'!$D$6:$D$2228)</f>
        <v>0</v>
      </c>
      <c r="G653" s="19">
        <f>SUMIF('C3'!$B$6:$B$2228,B653,'C3'!$D$6:$D$2228)</f>
        <v>0</v>
      </c>
      <c r="H653" s="22"/>
      <c r="I653" s="22"/>
      <c r="J653" s="4" t="s">
        <v>570</v>
      </c>
      <c r="K653" s="4" t="s">
        <v>624</v>
      </c>
    </row>
    <row r="654" spans="2:11">
      <c r="B654" s="1">
        <v>30000</v>
      </c>
      <c r="C654" s="4" t="s">
        <v>690</v>
      </c>
      <c r="D654" s="19">
        <f t="shared" si="10"/>
        <v>0</v>
      </c>
      <c r="E654" s="19">
        <f>SUMIF('C1'!$B$6:$B$2228,B654,'C1'!$D$6:$D$2228)</f>
        <v>0</v>
      </c>
      <c r="F654" s="19">
        <f>SUMIF('C2'!$B$6:$B$2228,B654,'C2'!$D$6:$D$2228)</f>
        <v>0</v>
      </c>
      <c r="G654" s="19">
        <f>SUMIF('C3'!$B$6:$B$2228,B654,'C3'!$D$6:$D$2228)</f>
        <v>0</v>
      </c>
      <c r="H654" s="22"/>
      <c r="I654" s="22"/>
      <c r="J654" s="4" t="s">
        <v>691</v>
      </c>
      <c r="K654" s="4" t="s">
        <v>692</v>
      </c>
    </row>
    <row r="655" spans="2:11">
      <c r="B655" s="1">
        <v>30001</v>
      </c>
      <c r="C655" s="4" t="s">
        <v>693</v>
      </c>
      <c r="D655" s="19">
        <f t="shared" si="10"/>
        <v>0</v>
      </c>
      <c r="E655" s="19">
        <f>SUMIF('C1'!$B$6:$B$2228,B655,'C1'!$D$6:$D$2228)</f>
        <v>0</v>
      </c>
      <c r="F655" s="19">
        <f>SUMIF('C2'!$B$6:$B$2228,B655,'C2'!$D$6:$D$2228)</f>
        <v>0</v>
      </c>
      <c r="G655" s="19">
        <f>SUMIF('C3'!$B$6:$B$2228,B655,'C3'!$D$6:$D$2228)</f>
        <v>0</v>
      </c>
      <c r="H655" s="22"/>
      <c r="I655" s="22"/>
      <c r="J655" s="4" t="s">
        <v>691</v>
      </c>
      <c r="K655" s="4" t="s">
        <v>692</v>
      </c>
    </row>
    <row r="656" spans="2:11">
      <c r="B656" s="1">
        <v>30002</v>
      </c>
      <c r="C656" s="4" t="s">
        <v>694</v>
      </c>
      <c r="D656" s="19">
        <f t="shared" si="10"/>
        <v>0</v>
      </c>
      <c r="E656" s="19">
        <f>SUMIF('C1'!$B$6:$B$2228,B656,'C1'!$D$6:$D$2228)</f>
        <v>0</v>
      </c>
      <c r="F656" s="19">
        <f>SUMIF('C2'!$B$6:$B$2228,B656,'C2'!$D$6:$D$2228)</f>
        <v>0</v>
      </c>
      <c r="G656" s="19">
        <f>SUMIF('C3'!$B$6:$B$2228,B656,'C3'!$D$6:$D$2228)</f>
        <v>0</v>
      </c>
      <c r="H656" s="22"/>
      <c r="I656" s="22"/>
      <c r="J656" s="4" t="s">
        <v>691</v>
      </c>
      <c r="K656" s="4" t="s">
        <v>692</v>
      </c>
    </row>
    <row r="657" spans="2:11">
      <c r="B657" s="1">
        <v>30003</v>
      </c>
      <c r="C657" s="4" t="s">
        <v>695</v>
      </c>
      <c r="D657" s="19">
        <f t="shared" si="10"/>
        <v>0</v>
      </c>
      <c r="E657" s="19">
        <f>SUMIF('C1'!$B$6:$B$2228,B657,'C1'!$D$6:$D$2228)</f>
        <v>0</v>
      </c>
      <c r="F657" s="19">
        <f>SUMIF('C2'!$B$6:$B$2228,B657,'C2'!$D$6:$D$2228)</f>
        <v>0</v>
      </c>
      <c r="G657" s="19">
        <f>SUMIF('C3'!$B$6:$B$2228,B657,'C3'!$D$6:$D$2228)</f>
        <v>0</v>
      </c>
      <c r="H657" s="22"/>
      <c r="I657" s="22"/>
      <c r="J657" s="4" t="s">
        <v>691</v>
      </c>
      <c r="K657" s="4" t="s">
        <v>692</v>
      </c>
    </row>
    <row r="658" spans="2:11">
      <c r="B658" s="1">
        <v>30004</v>
      </c>
      <c r="C658" s="4" t="s">
        <v>696</v>
      </c>
      <c r="D658" s="19">
        <f t="shared" si="10"/>
        <v>0</v>
      </c>
      <c r="E658" s="19">
        <f>SUMIF('C1'!$B$6:$B$2228,B658,'C1'!$D$6:$D$2228)</f>
        <v>0</v>
      </c>
      <c r="F658" s="19">
        <f>SUMIF('C2'!$B$6:$B$2228,B658,'C2'!$D$6:$D$2228)</f>
        <v>0</v>
      </c>
      <c r="G658" s="19">
        <f>SUMIF('C3'!$B$6:$B$2228,B658,'C3'!$D$6:$D$2228)</f>
        <v>0</v>
      </c>
      <c r="H658" s="22"/>
      <c r="I658" s="22"/>
      <c r="J658" s="4" t="s">
        <v>691</v>
      </c>
      <c r="K658" s="4" t="s">
        <v>692</v>
      </c>
    </row>
    <row r="659" spans="2:11">
      <c r="B659" s="1">
        <v>30005</v>
      </c>
      <c r="C659" s="4" t="s">
        <v>697</v>
      </c>
      <c r="D659" s="19">
        <f t="shared" si="10"/>
        <v>0</v>
      </c>
      <c r="E659" s="19">
        <f>SUMIF('C1'!$B$6:$B$2228,B659,'C1'!$D$6:$D$2228)</f>
        <v>0</v>
      </c>
      <c r="F659" s="19">
        <f>SUMIF('C2'!$B$6:$B$2228,B659,'C2'!$D$6:$D$2228)</f>
        <v>0</v>
      </c>
      <c r="G659" s="19">
        <f>SUMIF('C3'!$B$6:$B$2228,B659,'C3'!$D$6:$D$2228)</f>
        <v>0</v>
      </c>
      <c r="H659" s="22"/>
      <c r="I659" s="22"/>
      <c r="J659" s="4" t="s">
        <v>691</v>
      </c>
      <c r="K659" s="4" t="s">
        <v>692</v>
      </c>
    </row>
    <row r="660" spans="2:11">
      <c r="B660" s="1">
        <v>30006</v>
      </c>
      <c r="C660" s="4" t="s">
        <v>698</v>
      </c>
      <c r="D660" s="19">
        <f t="shared" si="10"/>
        <v>0</v>
      </c>
      <c r="E660" s="19">
        <f>SUMIF('C1'!$B$6:$B$2228,B660,'C1'!$D$6:$D$2228)</f>
        <v>0</v>
      </c>
      <c r="F660" s="19">
        <f>SUMIF('C2'!$B$6:$B$2228,B660,'C2'!$D$6:$D$2228)</f>
        <v>0</v>
      </c>
      <c r="G660" s="19">
        <f>SUMIF('C3'!$B$6:$B$2228,B660,'C3'!$D$6:$D$2228)</f>
        <v>0</v>
      </c>
      <c r="H660" s="22"/>
      <c r="I660" s="22"/>
      <c r="J660" s="4" t="s">
        <v>691</v>
      </c>
      <c r="K660" s="4" t="s">
        <v>692</v>
      </c>
    </row>
    <row r="661" spans="2:11">
      <c r="B661" s="1">
        <v>30007</v>
      </c>
      <c r="C661" s="4" t="s">
        <v>699</v>
      </c>
      <c r="D661" s="19">
        <f t="shared" si="10"/>
        <v>0</v>
      </c>
      <c r="E661" s="19">
        <f>SUMIF('C1'!$B$6:$B$2228,B661,'C1'!$D$6:$D$2228)</f>
        <v>0</v>
      </c>
      <c r="F661" s="19">
        <f>SUMIF('C2'!$B$6:$B$2228,B661,'C2'!$D$6:$D$2228)</f>
        <v>0</v>
      </c>
      <c r="G661" s="19">
        <f>SUMIF('C3'!$B$6:$B$2228,B661,'C3'!$D$6:$D$2228)</f>
        <v>0</v>
      </c>
      <c r="H661" s="22"/>
      <c r="I661" s="22"/>
      <c r="J661" s="4" t="s">
        <v>691</v>
      </c>
      <c r="K661" s="4" t="s">
        <v>692</v>
      </c>
    </row>
    <row r="662" spans="2:11">
      <c r="B662" s="1">
        <v>30008</v>
      </c>
      <c r="C662" s="4" t="s">
        <v>700</v>
      </c>
      <c r="D662" s="19">
        <f t="shared" si="10"/>
        <v>0</v>
      </c>
      <c r="E662" s="19">
        <f>SUMIF('C1'!$B$6:$B$2228,B662,'C1'!$D$6:$D$2228)</f>
        <v>0</v>
      </c>
      <c r="F662" s="19">
        <f>SUMIF('C2'!$B$6:$B$2228,B662,'C2'!$D$6:$D$2228)</f>
        <v>0</v>
      </c>
      <c r="G662" s="19">
        <f>SUMIF('C3'!$B$6:$B$2228,B662,'C3'!$D$6:$D$2228)</f>
        <v>0</v>
      </c>
      <c r="H662" s="22"/>
      <c r="I662" s="22"/>
      <c r="J662" s="4" t="s">
        <v>691</v>
      </c>
      <c r="K662" s="4" t="s">
        <v>692</v>
      </c>
    </row>
    <row r="663" spans="2:11">
      <c r="B663" s="1">
        <v>30009</v>
      </c>
      <c r="C663" s="4" t="s">
        <v>701</v>
      </c>
      <c r="D663" s="19">
        <f t="shared" si="10"/>
        <v>0</v>
      </c>
      <c r="E663" s="19">
        <f>SUMIF('C1'!$B$6:$B$2228,B663,'C1'!$D$6:$D$2228)</f>
        <v>0</v>
      </c>
      <c r="F663" s="19">
        <f>SUMIF('C2'!$B$6:$B$2228,B663,'C2'!$D$6:$D$2228)</f>
        <v>0</v>
      </c>
      <c r="G663" s="19">
        <f>SUMIF('C3'!$B$6:$B$2228,B663,'C3'!$D$6:$D$2228)</f>
        <v>0</v>
      </c>
      <c r="H663" s="22"/>
      <c r="I663" s="22"/>
      <c r="J663" s="4" t="s">
        <v>691</v>
      </c>
      <c r="K663" s="4" t="s">
        <v>692</v>
      </c>
    </row>
    <row r="664" spans="2:11">
      <c r="B664" s="1">
        <v>30010</v>
      </c>
      <c r="C664" s="4" t="s">
        <v>702</v>
      </c>
      <c r="D664" s="19">
        <f t="shared" si="10"/>
        <v>0</v>
      </c>
      <c r="E664" s="19">
        <f>SUMIF('C1'!$B$6:$B$2228,B664,'C1'!$D$6:$D$2228)</f>
        <v>0</v>
      </c>
      <c r="F664" s="19">
        <f>SUMIF('C2'!$B$6:$B$2228,B664,'C2'!$D$6:$D$2228)</f>
        <v>0</v>
      </c>
      <c r="G664" s="19">
        <f>SUMIF('C3'!$B$6:$B$2228,B664,'C3'!$D$6:$D$2228)</f>
        <v>0</v>
      </c>
      <c r="H664" s="22"/>
      <c r="I664" s="22"/>
      <c r="J664" s="4" t="s">
        <v>691</v>
      </c>
      <c r="K664" s="4" t="s">
        <v>692</v>
      </c>
    </row>
    <row r="665" spans="2:11">
      <c r="B665" s="1">
        <v>30011</v>
      </c>
      <c r="C665" s="4" t="s">
        <v>703</v>
      </c>
      <c r="D665" s="19">
        <f t="shared" si="10"/>
        <v>0</v>
      </c>
      <c r="E665" s="19">
        <f>SUMIF('C1'!$B$6:$B$2228,B665,'C1'!$D$6:$D$2228)</f>
        <v>0</v>
      </c>
      <c r="F665" s="19">
        <f>SUMIF('C2'!$B$6:$B$2228,B665,'C2'!$D$6:$D$2228)</f>
        <v>0</v>
      </c>
      <c r="G665" s="19">
        <f>SUMIF('C3'!$B$6:$B$2228,B665,'C3'!$D$6:$D$2228)</f>
        <v>0</v>
      </c>
      <c r="H665" s="22"/>
      <c r="I665" s="22"/>
      <c r="J665" s="4" t="s">
        <v>691</v>
      </c>
      <c r="K665" s="4" t="s">
        <v>692</v>
      </c>
    </row>
    <row r="666" spans="2:11">
      <c r="B666" s="1">
        <v>30012</v>
      </c>
      <c r="C666" s="4" t="s">
        <v>704</v>
      </c>
      <c r="D666" s="19">
        <f t="shared" si="10"/>
        <v>0</v>
      </c>
      <c r="E666" s="19">
        <f>SUMIF('C1'!$B$6:$B$2228,B666,'C1'!$D$6:$D$2228)</f>
        <v>0</v>
      </c>
      <c r="F666" s="19">
        <f>SUMIF('C2'!$B$6:$B$2228,B666,'C2'!$D$6:$D$2228)</f>
        <v>0</v>
      </c>
      <c r="G666" s="19">
        <f>SUMIF('C3'!$B$6:$B$2228,B666,'C3'!$D$6:$D$2228)</f>
        <v>0</v>
      </c>
      <c r="H666" s="22"/>
      <c r="I666" s="22"/>
      <c r="J666" s="4" t="s">
        <v>691</v>
      </c>
      <c r="K666" s="4" t="s">
        <v>692</v>
      </c>
    </row>
    <row r="667" spans="2:11">
      <c r="B667" s="1">
        <v>31000</v>
      </c>
      <c r="C667" s="4" t="s">
        <v>705</v>
      </c>
      <c r="D667" s="19">
        <f t="shared" si="10"/>
        <v>0</v>
      </c>
      <c r="E667" s="19">
        <f>SUMIF('C1'!$B$6:$B$2228,B667,'C1'!$D$6:$D$2228)</f>
        <v>0</v>
      </c>
      <c r="F667" s="19">
        <f>SUMIF('C2'!$B$6:$B$2228,B667,'C2'!$D$6:$D$2228)</f>
        <v>0</v>
      </c>
      <c r="G667" s="19">
        <f>SUMIF('C3'!$B$6:$B$2228,B667,'C3'!$D$6:$D$2228)</f>
        <v>0</v>
      </c>
      <c r="H667" s="22"/>
      <c r="I667" s="22"/>
      <c r="J667" s="4" t="s">
        <v>691</v>
      </c>
      <c r="K667" s="4" t="s">
        <v>706</v>
      </c>
    </row>
    <row r="668" spans="2:11">
      <c r="B668" s="1">
        <v>31001</v>
      </c>
      <c r="C668" s="4" t="s">
        <v>707</v>
      </c>
      <c r="D668" s="19">
        <f t="shared" si="10"/>
        <v>0</v>
      </c>
      <c r="E668" s="19">
        <f>SUMIF('C1'!$B$6:$B$2228,B668,'C1'!$D$6:$D$2228)</f>
        <v>0</v>
      </c>
      <c r="F668" s="19">
        <f>SUMIF('C2'!$B$6:$B$2228,B668,'C2'!$D$6:$D$2228)</f>
        <v>0</v>
      </c>
      <c r="G668" s="19">
        <f>SUMIF('C3'!$B$6:$B$2228,B668,'C3'!$D$6:$D$2228)</f>
        <v>0</v>
      </c>
      <c r="H668" s="22"/>
      <c r="I668" s="22"/>
      <c r="J668" s="4" t="s">
        <v>691</v>
      </c>
      <c r="K668" s="4" t="s">
        <v>706</v>
      </c>
    </row>
    <row r="669" spans="2:11">
      <c r="B669" s="1">
        <v>31002</v>
      </c>
      <c r="C669" s="4" t="s">
        <v>708</v>
      </c>
      <c r="D669" s="19">
        <f t="shared" si="10"/>
        <v>0</v>
      </c>
      <c r="E669" s="19">
        <f>SUMIF('C1'!$B$6:$B$2228,B669,'C1'!$D$6:$D$2228)</f>
        <v>0</v>
      </c>
      <c r="F669" s="19">
        <f>SUMIF('C2'!$B$6:$B$2228,B669,'C2'!$D$6:$D$2228)</f>
        <v>0</v>
      </c>
      <c r="G669" s="19">
        <f>SUMIF('C3'!$B$6:$B$2228,B669,'C3'!$D$6:$D$2228)</f>
        <v>0</v>
      </c>
      <c r="H669" s="22"/>
      <c r="I669" s="22"/>
      <c r="J669" s="4" t="s">
        <v>691</v>
      </c>
      <c r="K669" s="4" t="s">
        <v>706</v>
      </c>
    </row>
    <row r="670" spans="2:11">
      <c r="B670" s="1">
        <v>31003</v>
      </c>
      <c r="C670" s="4" t="s">
        <v>709</v>
      </c>
      <c r="D670" s="19">
        <f t="shared" si="10"/>
        <v>0</v>
      </c>
      <c r="E670" s="19">
        <f>SUMIF('C1'!$B$6:$B$2228,B670,'C1'!$D$6:$D$2228)</f>
        <v>0</v>
      </c>
      <c r="F670" s="19">
        <f>SUMIF('C2'!$B$6:$B$2228,B670,'C2'!$D$6:$D$2228)</f>
        <v>0</v>
      </c>
      <c r="G670" s="19">
        <f>SUMIF('C3'!$B$6:$B$2228,B670,'C3'!$D$6:$D$2228)</f>
        <v>0</v>
      </c>
      <c r="H670" s="22"/>
      <c r="I670" s="22"/>
      <c r="J670" s="4" t="s">
        <v>691</v>
      </c>
      <c r="K670" s="4" t="s">
        <v>706</v>
      </c>
    </row>
    <row r="671" spans="2:11">
      <c r="B671" s="1">
        <v>31004</v>
      </c>
      <c r="C671" s="4" t="s">
        <v>710</v>
      </c>
      <c r="D671" s="19">
        <f t="shared" si="10"/>
        <v>0</v>
      </c>
      <c r="E671" s="19">
        <f>SUMIF('C1'!$B$6:$B$2228,B671,'C1'!$D$6:$D$2228)</f>
        <v>0</v>
      </c>
      <c r="F671" s="19">
        <f>SUMIF('C2'!$B$6:$B$2228,B671,'C2'!$D$6:$D$2228)</f>
        <v>0</v>
      </c>
      <c r="G671" s="19">
        <f>SUMIF('C3'!$B$6:$B$2228,B671,'C3'!$D$6:$D$2228)</f>
        <v>0</v>
      </c>
      <c r="H671" s="22"/>
      <c r="I671" s="22"/>
      <c r="J671" s="4" t="s">
        <v>691</v>
      </c>
      <c r="K671" s="4" t="s">
        <v>706</v>
      </c>
    </row>
    <row r="672" spans="2:11">
      <c r="B672" s="1">
        <v>31005</v>
      </c>
      <c r="C672" s="4" t="s">
        <v>711</v>
      </c>
      <c r="D672" s="19">
        <f t="shared" si="10"/>
        <v>0</v>
      </c>
      <c r="E672" s="19">
        <f>SUMIF('C1'!$B$6:$B$2228,B672,'C1'!$D$6:$D$2228)</f>
        <v>0</v>
      </c>
      <c r="F672" s="19">
        <f>SUMIF('C2'!$B$6:$B$2228,B672,'C2'!$D$6:$D$2228)</f>
        <v>0</v>
      </c>
      <c r="G672" s="19">
        <f>SUMIF('C3'!$B$6:$B$2228,B672,'C3'!$D$6:$D$2228)</f>
        <v>0</v>
      </c>
      <c r="H672" s="22"/>
      <c r="I672" s="22"/>
      <c r="J672" s="4" t="s">
        <v>691</v>
      </c>
      <c r="K672" s="4" t="s">
        <v>712</v>
      </c>
    </row>
    <row r="673" spans="2:11">
      <c r="B673" s="1">
        <v>31006</v>
      </c>
      <c r="C673" s="4" t="s">
        <v>713</v>
      </c>
      <c r="D673" s="19">
        <f t="shared" si="10"/>
        <v>0</v>
      </c>
      <c r="E673" s="19">
        <f>SUMIF('C1'!$B$6:$B$2228,B673,'C1'!$D$6:$D$2228)</f>
        <v>0</v>
      </c>
      <c r="F673" s="19">
        <f>SUMIF('C2'!$B$6:$B$2228,B673,'C2'!$D$6:$D$2228)</f>
        <v>0</v>
      </c>
      <c r="G673" s="19">
        <f>SUMIF('C3'!$B$6:$B$2228,B673,'C3'!$D$6:$D$2228)</f>
        <v>0</v>
      </c>
      <c r="H673" s="22"/>
      <c r="I673" s="22"/>
      <c r="J673" s="4" t="s">
        <v>691</v>
      </c>
      <c r="K673" s="4" t="s">
        <v>712</v>
      </c>
    </row>
    <row r="674" spans="2:11">
      <c r="B674" s="1">
        <v>31007</v>
      </c>
      <c r="C674" s="4" t="s">
        <v>714</v>
      </c>
      <c r="D674" s="19">
        <f t="shared" si="10"/>
        <v>0</v>
      </c>
      <c r="E674" s="19">
        <f>SUMIF('C1'!$B$6:$B$2228,B674,'C1'!$D$6:$D$2228)</f>
        <v>0</v>
      </c>
      <c r="F674" s="19">
        <f>SUMIF('C2'!$B$6:$B$2228,B674,'C2'!$D$6:$D$2228)</f>
        <v>0</v>
      </c>
      <c r="G674" s="19">
        <f>SUMIF('C3'!$B$6:$B$2228,B674,'C3'!$D$6:$D$2228)</f>
        <v>0</v>
      </c>
      <c r="H674" s="22"/>
      <c r="I674" s="22"/>
      <c r="J674" s="4" t="s">
        <v>691</v>
      </c>
      <c r="K674" s="4" t="s">
        <v>712</v>
      </c>
    </row>
    <row r="675" spans="2:11">
      <c r="B675" s="1">
        <v>31008</v>
      </c>
      <c r="C675" s="4" t="s">
        <v>715</v>
      </c>
      <c r="D675" s="19">
        <f t="shared" si="10"/>
        <v>0</v>
      </c>
      <c r="E675" s="19">
        <f>SUMIF('C1'!$B$6:$B$2228,B675,'C1'!$D$6:$D$2228)</f>
        <v>0</v>
      </c>
      <c r="F675" s="19">
        <f>SUMIF('C2'!$B$6:$B$2228,B675,'C2'!$D$6:$D$2228)</f>
        <v>0</v>
      </c>
      <c r="G675" s="19">
        <f>SUMIF('C3'!$B$6:$B$2228,B675,'C3'!$D$6:$D$2228)</f>
        <v>0</v>
      </c>
      <c r="H675" s="22"/>
      <c r="I675" s="22"/>
      <c r="J675" s="4" t="s">
        <v>691</v>
      </c>
      <c r="K675" s="4" t="s">
        <v>712</v>
      </c>
    </row>
    <row r="676" spans="2:11">
      <c r="B676" s="1">
        <v>31009</v>
      </c>
      <c r="C676" s="4" t="s">
        <v>716</v>
      </c>
      <c r="D676" s="19">
        <f t="shared" si="10"/>
        <v>0</v>
      </c>
      <c r="E676" s="19">
        <f>SUMIF('C1'!$B$6:$B$2228,B676,'C1'!$D$6:$D$2228)</f>
        <v>0</v>
      </c>
      <c r="F676" s="19">
        <f>SUMIF('C2'!$B$6:$B$2228,B676,'C2'!$D$6:$D$2228)</f>
        <v>0</v>
      </c>
      <c r="G676" s="19">
        <f>SUMIF('C3'!$B$6:$B$2228,B676,'C3'!$D$6:$D$2228)</f>
        <v>0</v>
      </c>
      <c r="H676" s="22"/>
      <c r="I676" s="22"/>
      <c r="J676" s="4" t="s">
        <v>691</v>
      </c>
      <c r="K676" s="4" t="s">
        <v>692</v>
      </c>
    </row>
    <row r="677" spans="2:11">
      <c r="B677" s="1">
        <v>31010</v>
      </c>
      <c r="C677" s="4" t="s">
        <v>717</v>
      </c>
      <c r="D677" s="19">
        <f t="shared" si="10"/>
        <v>0</v>
      </c>
      <c r="E677" s="19">
        <f>SUMIF('C1'!$B$6:$B$2228,B677,'C1'!$D$6:$D$2228)</f>
        <v>0</v>
      </c>
      <c r="F677" s="19">
        <f>SUMIF('C2'!$B$6:$B$2228,B677,'C2'!$D$6:$D$2228)</f>
        <v>0</v>
      </c>
      <c r="G677" s="19">
        <f>SUMIF('C3'!$B$6:$B$2228,B677,'C3'!$D$6:$D$2228)</f>
        <v>0</v>
      </c>
      <c r="H677" s="22"/>
      <c r="I677" s="22"/>
      <c r="J677" s="4" t="s">
        <v>691</v>
      </c>
      <c r="K677" s="4" t="s">
        <v>712</v>
      </c>
    </row>
    <row r="678" spans="2:11">
      <c r="B678" s="1">
        <v>31011</v>
      </c>
      <c r="C678" s="4" t="s">
        <v>718</v>
      </c>
      <c r="D678" s="19">
        <f t="shared" si="10"/>
        <v>0</v>
      </c>
      <c r="E678" s="19">
        <f>SUMIF('C1'!$B$6:$B$2228,B678,'C1'!$D$6:$D$2228)</f>
        <v>0</v>
      </c>
      <c r="F678" s="19">
        <f>SUMIF('C2'!$B$6:$B$2228,B678,'C2'!$D$6:$D$2228)</f>
        <v>0</v>
      </c>
      <c r="G678" s="19">
        <f>SUMIF('C3'!$B$6:$B$2228,B678,'C3'!$D$6:$D$2228)</f>
        <v>0</v>
      </c>
      <c r="H678" s="22"/>
      <c r="I678" s="22"/>
      <c r="J678" s="4" t="s">
        <v>691</v>
      </c>
      <c r="K678" s="4" t="s">
        <v>712</v>
      </c>
    </row>
    <row r="679" spans="2:11">
      <c r="B679" s="1">
        <v>31012</v>
      </c>
      <c r="C679" s="4" t="s">
        <v>719</v>
      </c>
      <c r="D679" s="19">
        <f t="shared" si="10"/>
        <v>0</v>
      </c>
      <c r="E679" s="19">
        <f>SUMIF('C1'!$B$6:$B$2228,B679,'C1'!$D$6:$D$2228)</f>
        <v>0</v>
      </c>
      <c r="F679" s="19">
        <f>SUMIF('C2'!$B$6:$B$2228,B679,'C2'!$D$6:$D$2228)</f>
        <v>0</v>
      </c>
      <c r="G679" s="19">
        <f>SUMIF('C3'!$B$6:$B$2228,B679,'C3'!$D$6:$D$2228)</f>
        <v>0</v>
      </c>
      <c r="H679" s="22"/>
      <c r="I679" s="22"/>
      <c r="J679" s="4" t="s">
        <v>691</v>
      </c>
      <c r="K679" s="4" t="s">
        <v>712</v>
      </c>
    </row>
    <row r="680" spans="2:11">
      <c r="B680" s="1">
        <v>31013</v>
      </c>
      <c r="C680" s="4" t="s">
        <v>720</v>
      </c>
      <c r="D680" s="19">
        <f t="shared" si="10"/>
        <v>0</v>
      </c>
      <c r="E680" s="19">
        <f>SUMIF('C1'!$B$6:$B$2228,B680,'C1'!$D$6:$D$2228)</f>
        <v>0</v>
      </c>
      <c r="F680" s="19">
        <f>SUMIF('C2'!$B$6:$B$2228,B680,'C2'!$D$6:$D$2228)</f>
        <v>0</v>
      </c>
      <c r="G680" s="19">
        <f>SUMIF('C3'!$B$6:$B$2228,B680,'C3'!$D$6:$D$2228)</f>
        <v>0</v>
      </c>
      <c r="H680" s="22"/>
      <c r="I680" s="22"/>
      <c r="J680" s="4" t="s">
        <v>691</v>
      </c>
      <c r="K680" s="4" t="s">
        <v>712</v>
      </c>
    </row>
    <row r="681" spans="2:11">
      <c r="B681" s="1">
        <v>31014</v>
      </c>
      <c r="C681" s="4" t="s">
        <v>721</v>
      </c>
      <c r="D681" s="19">
        <f t="shared" si="10"/>
        <v>0</v>
      </c>
      <c r="E681" s="19">
        <f>SUMIF('C1'!$B$6:$B$2228,B681,'C1'!$D$6:$D$2228)</f>
        <v>0</v>
      </c>
      <c r="F681" s="19">
        <f>SUMIF('C2'!$B$6:$B$2228,B681,'C2'!$D$6:$D$2228)</f>
        <v>0</v>
      </c>
      <c r="G681" s="19">
        <f>SUMIF('C3'!$B$6:$B$2228,B681,'C3'!$D$6:$D$2228)</f>
        <v>0</v>
      </c>
      <c r="H681" s="22"/>
      <c r="I681" s="22"/>
      <c r="J681" s="4" t="s">
        <v>691</v>
      </c>
      <c r="K681" s="4" t="s">
        <v>712</v>
      </c>
    </row>
    <row r="682" spans="2:11">
      <c r="B682" s="1">
        <v>31015</v>
      </c>
      <c r="C682" s="4" t="s">
        <v>722</v>
      </c>
      <c r="D682" s="19">
        <f t="shared" si="10"/>
        <v>0</v>
      </c>
      <c r="E682" s="19">
        <f>SUMIF('C1'!$B$6:$B$2228,B682,'C1'!$D$6:$D$2228)</f>
        <v>0</v>
      </c>
      <c r="F682" s="19">
        <f>SUMIF('C2'!$B$6:$B$2228,B682,'C2'!$D$6:$D$2228)</f>
        <v>0</v>
      </c>
      <c r="G682" s="19">
        <f>SUMIF('C3'!$B$6:$B$2228,B682,'C3'!$D$6:$D$2228)</f>
        <v>0</v>
      </c>
      <c r="H682" s="22"/>
      <c r="I682" s="22"/>
      <c r="J682" s="4" t="s">
        <v>691</v>
      </c>
      <c r="K682" s="4" t="s">
        <v>706</v>
      </c>
    </row>
    <row r="683" spans="2:11">
      <c r="B683" s="1">
        <v>31016</v>
      </c>
      <c r="C683" s="4" t="s">
        <v>723</v>
      </c>
      <c r="D683" s="19">
        <f t="shared" si="10"/>
        <v>0</v>
      </c>
      <c r="E683" s="19">
        <f>SUMIF('C1'!$B$6:$B$2228,B683,'C1'!$D$6:$D$2228)</f>
        <v>0</v>
      </c>
      <c r="F683" s="19">
        <f>SUMIF('C2'!$B$6:$B$2228,B683,'C2'!$D$6:$D$2228)</f>
        <v>0</v>
      </c>
      <c r="G683" s="19">
        <f>SUMIF('C3'!$B$6:$B$2228,B683,'C3'!$D$6:$D$2228)</f>
        <v>0</v>
      </c>
      <c r="H683" s="22"/>
      <c r="I683" s="22"/>
      <c r="J683" s="4" t="s">
        <v>691</v>
      </c>
      <c r="K683" s="4" t="s">
        <v>712</v>
      </c>
    </row>
    <row r="684" spans="2:11">
      <c r="B684" s="1">
        <v>31017</v>
      </c>
      <c r="C684" s="4" t="s">
        <v>724</v>
      </c>
      <c r="D684" s="19">
        <f t="shared" si="10"/>
        <v>0</v>
      </c>
      <c r="E684" s="19">
        <f>SUMIF('C1'!$B$6:$B$2228,B684,'C1'!$D$6:$D$2228)</f>
        <v>0</v>
      </c>
      <c r="F684" s="19">
        <f>SUMIF('C2'!$B$6:$B$2228,B684,'C2'!$D$6:$D$2228)</f>
        <v>0</v>
      </c>
      <c r="G684" s="19">
        <f>SUMIF('C3'!$B$6:$B$2228,B684,'C3'!$D$6:$D$2228)</f>
        <v>0</v>
      </c>
      <c r="H684" s="22"/>
      <c r="I684" s="22"/>
      <c r="J684" s="4" t="s">
        <v>691</v>
      </c>
      <c r="K684" s="4" t="s">
        <v>712</v>
      </c>
    </row>
    <row r="685" spans="2:11">
      <c r="B685" s="1">
        <v>31018</v>
      </c>
      <c r="C685" s="4" t="s">
        <v>725</v>
      </c>
      <c r="D685" s="19">
        <f t="shared" si="10"/>
        <v>0</v>
      </c>
      <c r="E685" s="19">
        <f>SUMIF('C1'!$B$6:$B$2228,B685,'C1'!$D$6:$D$2228)</f>
        <v>0</v>
      </c>
      <c r="F685" s="19">
        <f>SUMIF('C2'!$B$6:$B$2228,B685,'C2'!$D$6:$D$2228)</f>
        <v>0</v>
      </c>
      <c r="G685" s="19">
        <f>SUMIF('C3'!$B$6:$B$2228,B685,'C3'!$D$6:$D$2228)</f>
        <v>0</v>
      </c>
      <c r="H685" s="22"/>
      <c r="I685" s="22"/>
      <c r="J685" s="4" t="s">
        <v>691</v>
      </c>
      <c r="K685" s="4" t="s">
        <v>712</v>
      </c>
    </row>
    <row r="686" spans="2:11">
      <c r="B686" s="1">
        <v>31019</v>
      </c>
      <c r="C686" s="4" t="s">
        <v>726</v>
      </c>
      <c r="D686" s="19">
        <f t="shared" si="10"/>
        <v>0</v>
      </c>
      <c r="E686" s="19">
        <f>SUMIF('C1'!$B$6:$B$2228,B686,'C1'!$D$6:$D$2228)</f>
        <v>0</v>
      </c>
      <c r="F686" s="19">
        <f>SUMIF('C2'!$B$6:$B$2228,B686,'C2'!$D$6:$D$2228)</f>
        <v>0</v>
      </c>
      <c r="G686" s="19">
        <f>SUMIF('C3'!$B$6:$B$2228,B686,'C3'!$D$6:$D$2228)</f>
        <v>0</v>
      </c>
      <c r="H686" s="22"/>
      <c r="I686" s="22"/>
      <c r="J686" s="4" t="s">
        <v>691</v>
      </c>
      <c r="K686" s="4" t="s">
        <v>712</v>
      </c>
    </row>
    <row r="687" spans="2:11">
      <c r="B687" s="1">
        <v>31020</v>
      </c>
      <c r="C687" s="4" t="s">
        <v>727</v>
      </c>
      <c r="D687" s="19">
        <f t="shared" si="10"/>
        <v>0</v>
      </c>
      <c r="E687" s="19">
        <f>SUMIF('C1'!$B$6:$B$2228,B687,'C1'!$D$6:$D$2228)</f>
        <v>0</v>
      </c>
      <c r="F687" s="19">
        <f>SUMIF('C2'!$B$6:$B$2228,B687,'C2'!$D$6:$D$2228)</f>
        <v>0</v>
      </c>
      <c r="G687" s="19">
        <f>SUMIF('C3'!$B$6:$B$2228,B687,'C3'!$D$6:$D$2228)</f>
        <v>0</v>
      </c>
      <c r="H687" s="22"/>
      <c r="I687" s="22"/>
      <c r="J687" s="4" t="s">
        <v>691</v>
      </c>
      <c r="K687" s="4" t="s">
        <v>712</v>
      </c>
    </row>
    <row r="688" spans="2:11">
      <c r="B688" s="1">
        <v>31021</v>
      </c>
      <c r="C688" s="4" t="s">
        <v>728</v>
      </c>
      <c r="D688" s="19">
        <f t="shared" si="10"/>
        <v>0</v>
      </c>
      <c r="E688" s="19">
        <f>SUMIF('C1'!$B$6:$B$2228,B688,'C1'!$D$6:$D$2228)</f>
        <v>0</v>
      </c>
      <c r="F688" s="19">
        <f>SUMIF('C2'!$B$6:$B$2228,B688,'C2'!$D$6:$D$2228)</f>
        <v>0</v>
      </c>
      <c r="G688" s="19">
        <f>SUMIF('C3'!$B$6:$B$2228,B688,'C3'!$D$6:$D$2228)</f>
        <v>0</v>
      </c>
      <c r="H688" s="22"/>
      <c r="I688" s="22"/>
      <c r="J688" s="4" t="s">
        <v>691</v>
      </c>
      <c r="K688" s="4" t="s">
        <v>712</v>
      </c>
    </row>
    <row r="689" spans="2:11">
      <c r="B689" s="1">
        <v>31022</v>
      </c>
      <c r="C689" s="4" t="s">
        <v>729</v>
      </c>
      <c r="D689" s="19">
        <f t="shared" si="10"/>
        <v>0</v>
      </c>
      <c r="E689" s="19">
        <f>SUMIF('C1'!$B$6:$B$2228,B689,'C1'!$D$6:$D$2228)</f>
        <v>0</v>
      </c>
      <c r="F689" s="19">
        <f>SUMIF('C2'!$B$6:$B$2228,B689,'C2'!$D$6:$D$2228)</f>
        <v>0</v>
      </c>
      <c r="G689" s="19">
        <f>SUMIF('C3'!$B$6:$B$2228,B689,'C3'!$D$6:$D$2228)</f>
        <v>0</v>
      </c>
      <c r="H689" s="22"/>
      <c r="I689" s="22"/>
      <c r="J689" s="4" t="s">
        <v>691</v>
      </c>
      <c r="K689" s="4" t="s">
        <v>712</v>
      </c>
    </row>
    <row r="690" spans="2:11">
      <c r="B690" s="1">
        <v>31023</v>
      </c>
      <c r="C690" s="4" t="s">
        <v>730</v>
      </c>
      <c r="D690" s="19">
        <f t="shared" si="10"/>
        <v>0</v>
      </c>
      <c r="E690" s="19">
        <f>SUMIF('C1'!$B$6:$B$2228,B690,'C1'!$D$6:$D$2228)</f>
        <v>0</v>
      </c>
      <c r="F690" s="19">
        <f>SUMIF('C2'!$B$6:$B$2228,B690,'C2'!$D$6:$D$2228)</f>
        <v>0</v>
      </c>
      <c r="G690" s="19">
        <f>SUMIF('C3'!$B$6:$B$2228,B690,'C3'!$D$6:$D$2228)</f>
        <v>0</v>
      </c>
      <c r="H690" s="22"/>
      <c r="I690" s="22"/>
      <c r="J690" s="4" t="s">
        <v>691</v>
      </c>
      <c r="K690" s="4" t="s">
        <v>712</v>
      </c>
    </row>
    <row r="691" spans="2:11">
      <c r="B691" s="1">
        <v>31024</v>
      </c>
      <c r="C691" s="4" t="s">
        <v>731</v>
      </c>
      <c r="D691" s="19">
        <f t="shared" si="10"/>
        <v>0</v>
      </c>
      <c r="E691" s="19">
        <f>SUMIF('C1'!$B$6:$B$2228,B691,'C1'!$D$6:$D$2228)</f>
        <v>0</v>
      </c>
      <c r="F691" s="19">
        <f>SUMIF('C2'!$B$6:$B$2228,B691,'C2'!$D$6:$D$2228)</f>
        <v>0</v>
      </c>
      <c r="G691" s="19">
        <f>SUMIF('C3'!$B$6:$B$2228,B691,'C3'!$D$6:$D$2228)</f>
        <v>0</v>
      </c>
      <c r="H691" s="22"/>
      <c r="I691" s="22"/>
      <c r="J691" s="4" t="s">
        <v>691</v>
      </c>
      <c r="K691" s="4" t="s">
        <v>712</v>
      </c>
    </row>
    <row r="692" spans="2:11">
      <c r="B692" s="1">
        <v>31025</v>
      </c>
      <c r="C692" s="4" t="s">
        <v>732</v>
      </c>
      <c r="D692" s="19">
        <f t="shared" si="10"/>
        <v>0</v>
      </c>
      <c r="E692" s="19">
        <f>SUMIF('C1'!$B$6:$B$2228,B692,'C1'!$D$6:$D$2228)</f>
        <v>0</v>
      </c>
      <c r="F692" s="19">
        <f>SUMIF('C2'!$B$6:$B$2228,B692,'C2'!$D$6:$D$2228)</f>
        <v>0</v>
      </c>
      <c r="G692" s="19">
        <f>SUMIF('C3'!$B$6:$B$2228,B692,'C3'!$D$6:$D$2228)</f>
        <v>0</v>
      </c>
      <c r="H692" s="22"/>
      <c r="I692" s="22"/>
      <c r="J692" s="4" t="s">
        <v>691</v>
      </c>
      <c r="K692" s="4" t="s">
        <v>733</v>
      </c>
    </row>
    <row r="693" spans="2:11">
      <c r="B693" s="1">
        <v>31026</v>
      </c>
      <c r="C693" s="4" t="s">
        <v>734</v>
      </c>
      <c r="D693" s="19">
        <f t="shared" si="10"/>
        <v>0</v>
      </c>
      <c r="E693" s="19">
        <f>SUMIF('C1'!$B$6:$B$2228,B693,'C1'!$D$6:$D$2228)</f>
        <v>0</v>
      </c>
      <c r="F693" s="19">
        <f>SUMIF('C2'!$B$6:$B$2228,B693,'C2'!$D$6:$D$2228)</f>
        <v>0</v>
      </c>
      <c r="G693" s="19">
        <f>SUMIF('C3'!$B$6:$B$2228,B693,'C3'!$D$6:$D$2228)</f>
        <v>0</v>
      </c>
      <c r="H693" s="22"/>
      <c r="I693" s="22"/>
      <c r="J693" s="4" t="s">
        <v>691</v>
      </c>
      <c r="K693" s="4" t="s">
        <v>712</v>
      </c>
    </row>
    <row r="694" spans="2:11">
      <c r="B694" s="1">
        <v>31027</v>
      </c>
      <c r="C694" s="4" t="s">
        <v>735</v>
      </c>
      <c r="D694" s="19">
        <f t="shared" si="10"/>
        <v>0</v>
      </c>
      <c r="E694" s="19">
        <f>SUMIF('C1'!$B$6:$B$2228,B694,'C1'!$D$6:$D$2228)</f>
        <v>0</v>
      </c>
      <c r="F694" s="19">
        <f>SUMIF('C2'!$B$6:$B$2228,B694,'C2'!$D$6:$D$2228)</f>
        <v>0</v>
      </c>
      <c r="G694" s="19">
        <f>SUMIF('C3'!$B$6:$B$2228,B694,'C3'!$D$6:$D$2228)</f>
        <v>0</v>
      </c>
      <c r="H694" s="22"/>
      <c r="I694" s="22"/>
      <c r="J694" s="4" t="s">
        <v>691</v>
      </c>
      <c r="K694" s="4" t="s">
        <v>733</v>
      </c>
    </row>
    <row r="695" spans="2:11">
      <c r="B695" s="1">
        <v>31028</v>
      </c>
      <c r="C695" s="4" t="s">
        <v>736</v>
      </c>
      <c r="D695" s="19">
        <f t="shared" si="10"/>
        <v>0</v>
      </c>
      <c r="E695" s="19">
        <f>SUMIF('C1'!$B$6:$B$2228,B695,'C1'!$D$6:$D$2228)</f>
        <v>0</v>
      </c>
      <c r="F695" s="19">
        <f>SUMIF('C2'!$B$6:$B$2228,B695,'C2'!$D$6:$D$2228)</f>
        <v>0</v>
      </c>
      <c r="G695" s="19">
        <f>SUMIF('C3'!$B$6:$B$2228,B695,'C3'!$D$6:$D$2228)</f>
        <v>0</v>
      </c>
      <c r="H695" s="22"/>
      <c r="I695" s="22"/>
      <c r="J695" s="4" t="s">
        <v>691</v>
      </c>
      <c r="K695" s="4" t="s">
        <v>733</v>
      </c>
    </row>
    <row r="696" spans="2:11">
      <c r="B696" s="1">
        <v>31029</v>
      </c>
      <c r="C696" s="4" t="s">
        <v>737</v>
      </c>
      <c r="D696" s="19">
        <f t="shared" si="10"/>
        <v>0</v>
      </c>
      <c r="E696" s="19">
        <f>SUMIF('C1'!$B$6:$B$2228,B696,'C1'!$D$6:$D$2228)</f>
        <v>0</v>
      </c>
      <c r="F696" s="19">
        <f>SUMIF('C2'!$B$6:$B$2228,B696,'C2'!$D$6:$D$2228)</f>
        <v>0</v>
      </c>
      <c r="G696" s="19">
        <f>SUMIF('C3'!$B$6:$B$2228,B696,'C3'!$D$6:$D$2228)</f>
        <v>0</v>
      </c>
      <c r="H696" s="22"/>
      <c r="I696" s="22"/>
      <c r="J696" s="4" t="s">
        <v>691</v>
      </c>
      <c r="K696" s="4" t="s">
        <v>738</v>
      </c>
    </row>
    <row r="697" spans="2:11">
      <c r="B697" s="1">
        <v>31030</v>
      </c>
      <c r="C697" s="4" t="s">
        <v>739</v>
      </c>
      <c r="D697" s="19">
        <f t="shared" si="10"/>
        <v>0</v>
      </c>
      <c r="E697" s="19">
        <f>SUMIF('C1'!$B$6:$B$2228,B697,'C1'!$D$6:$D$2228)</f>
        <v>0</v>
      </c>
      <c r="F697" s="19">
        <f>SUMIF('C2'!$B$6:$B$2228,B697,'C2'!$D$6:$D$2228)</f>
        <v>0</v>
      </c>
      <c r="G697" s="19">
        <f>SUMIF('C3'!$B$6:$B$2228,B697,'C3'!$D$6:$D$2228)</f>
        <v>0</v>
      </c>
      <c r="H697" s="22"/>
      <c r="I697" s="22"/>
      <c r="J697" s="4" t="s">
        <v>691</v>
      </c>
      <c r="K697" s="4" t="s">
        <v>738</v>
      </c>
    </row>
    <row r="698" spans="2:11">
      <c r="B698" s="1">
        <v>31031</v>
      </c>
      <c r="C698" s="4" t="s">
        <v>740</v>
      </c>
      <c r="D698" s="19">
        <f t="shared" si="10"/>
        <v>0</v>
      </c>
      <c r="E698" s="19">
        <f>SUMIF('C1'!$B$6:$B$2228,B698,'C1'!$D$6:$D$2228)</f>
        <v>0</v>
      </c>
      <c r="F698" s="19">
        <f>SUMIF('C2'!$B$6:$B$2228,B698,'C2'!$D$6:$D$2228)</f>
        <v>0</v>
      </c>
      <c r="G698" s="19">
        <f>SUMIF('C3'!$B$6:$B$2228,B698,'C3'!$D$6:$D$2228)</f>
        <v>0</v>
      </c>
      <c r="H698" s="22"/>
      <c r="I698" s="22"/>
      <c r="J698" s="4" t="s">
        <v>691</v>
      </c>
      <c r="K698" s="4" t="s">
        <v>738</v>
      </c>
    </row>
    <row r="699" spans="2:11">
      <c r="B699" s="1">
        <v>31032</v>
      </c>
      <c r="C699" s="4" t="s">
        <v>741</v>
      </c>
      <c r="D699" s="19">
        <f t="shared" si="10"/>
        <v>0</v>
      </c>
      <c r="E699" s="19">
        <f>SUMIF('C1'!$B$6:$B$2228,B699,'C1'!$D$6:$D$2228)</f>
        <v>0</v>
      </c>
      <c r="F699" s="19">
        <f>SUMIF('C2'!$B$6:$B$2228,B699,'C2'!$D$6:$D$2228)</f>
        <v>0</v>
      </c>
      <c r="G699" s="19">
        <f>SUMIF('C3'!$B$6:$B$2228,B699,'C3'!$D$6:$D$2228)</f>
        <v>0</v>
      </c>
      <c r="H699" s="22"/>
      <c r="I699" s="22"/>
      <c r="J699" s="4" t="s">
        <v>691</v>
      </c>
      <c r="K699" s="4" t="s">
        <v>738</v>
      </c>
    </row>
    <row r="700" spans="2:11">
      <c r="B700" s="1">
        <v>31033</v>
      </c>
      <c r="C700" s="4" t="s">
        <v>742</v>
      </c>
      <c r="D700" s="19">
        <f t="shared" si="10"/>
        <v>0</v>
      </c>
      <c r="E700" s="19">
        <f>SUMIF('C1'!$B$6:$B$2228,B700,'C1'!$D$6:$D$2228)</f>
        <v>0</v>
      </c>
      <c r="F700" s="19">
        <f>SUMIF('C2'!$B$6:$B$2228,B700,'C2'!$D$6:$D$2228)</f>
        <v>0</v>
      </c>
      <c r="G700" s="19">
        <f>SUMIF('C3'!$B$6:$B$2228,B700,'C3'!$D$6:$D$2228)</f>
        <v>0</v>
      </c>
      <c r="H700" s="22"/>
      <c r="I700" s="22"/>
      <c r="J700" s="4" t="s">
        <v>691</v>
      </c>
      <c r="K700" s="4" t="s">
        <v>738</v>
      </c>
    </row>
    <row r="701" spans="2:11">
      <c r="B701" s="1">
        <v>31034</v>
      </c>
      <c r="C701" s="4" t="s">
        <v>743</v>
      </c>
      <c r="D701" s="19">
        <f t="shared" si="10"/>
        <v>0</v>
      </c>
      <c r="E701" s="19">
        <f>SUMIF('C1'!$B$6:$B$2228,B701,'C1'!$D$6:$D$2228)</f>
        <v>0</v>
      </c>
      <c r="F701" s="19">
        <f>SUMIF('C2'!$B$6:$B$2228,B701,'C2'!$D$6:$D$2228)</f>
        <v>0</v>
      </c>
      <c r="G701" s="19">
        <f>SUMIF('C3'!$B$6:$B$2228,B701,'C3'!$D$6:$D$2228)</f>
        <v>0</v>
      </c>
      <c r="H701" s="22"/>
      <c r="I701" s="22"/>
      <c r="J701" s="4" t="s">
        <v>691</v>
      </c>
      <c r="K701" s="4" t="s">
        <v>744</v>
      </c>
    </row>
    <row r="702" spans="2:11">
      <c r="B702" s="1">
        <v>31035</v>
      </c>
      <c r="C702" s="4" t="s">
        <v>745</v>
      </c>
      <c r="D702" s="19">
        <f t="shared" si="10"/>
        <v>0</v>
      </c>
      <c r="E702" s="19">
        <f>SUMIF('C1'!$B$6:$B$2228,B702,'C1'!$D$6:$D$2228)</f>
        <v>0</v>
      </c>
      <c r="F702" s="19">
        <f>SUMIF('C2'!$B$6:$B$2228,B702,'C2'!$D$6:$D$2228)</f>
        <v>0</v>
      </c>
      <c r="G702" s="19">
        <f>SUMIF('C3'!$B$6:$B$2228,B702,'C3'!$D$6:$D$2228)</f>
        <v>0</v>
      </c>
      <c r="H702" s="22"/>
      <c r="I702" s="22"/>
      <c r="J702" s="4" t="s">
        <v>691</v>
      </c>
      <c r="K702" s="4" t="s">
        <v>744</v>
      </c>
    </row>
    <row r="703" spans="2:11">
      <c r="B703" s="1">
        <v>31036</v>
      </c>
      <c r="C703" s="4" t="s">
        <v>746</v>
      </c>
      <c r="D703" s="19">
        <f t="shared" si="10"/>
        <v>0</v>
      </c>
      <c r="E703" s="19">
        <f>SUMIF('C1'!$B$6:$B$2228,B703,'C1'!$D$6:$D$2228)</f>
        <v>0</v>
      </c>
      <c r="F703" s="19">
        <f>SUMIF('C2'!$B$6:$B$2228,B703,'C2'!$D$6:$D$2228)</f>
        <v>0</v>
      </c>
      <c r="G703" s="19">
        <f>SUMIF('C3'!$B$6:$B$2228,B703,'C3'!$D$6:$D$2228)</f>
        <v>0</v>
      </c>
      <c r="H703" s="22"/>
      <c r="I703" s="22"/>
      <c r="J703" s="4" t="s">
        <v>691</v>
      </c>
      <c r="K703" s="4" t="s">
        <v>744</v>
      </c>
    </row>
    <row r="704" spans="2:11">
      <c r="B704" s="1">
        <v>31037</v>
      </c>
      <c r="C704" s="4" t="s">
        <v>747</v>
      </c>
      <c r="D704" s="19">
        <f t="shared" si="10"/>
        <v>0</v>
      </c>
      <c r="E704" s="19">
        <f>SUMIF('C1'!$B$6:$B$2228,B704,'C1'!$D$6:$D$2228)</f>
        <v>0</v>
      </c>
      <c r="F704" s="19">
        <f>SUMIF('C2'!$B$6:$B$2228,B704,'C2'!$D$6:$D$2228)</f>
        <v>0</v>
      </c>
      <c r="G704" s="19">
        <f>SUMIF('C3'!$B$6:$B$2228,B704,'C3'!$D$6:$D$2228)</f>
        <v>0</v>
      </c>
      <c r="H704" s="22"/>
      <c r="I704" s="22"/>
      <c r="J704" s="4" t="s">
        <v>691</v>
      </c>
      <c r="K704" s="4" t="s">
        <v>733</v>
      </c>
    </row>
    <row r="705" spans="2:11">
      <c r="B705" s="1">
        <v>31038</v>
      </c>
      <c r="C705" s="4" t="s">
        <v>748</v>
      </c>
      <c r="D705" s="19">
        <f t="shared" si="10"/>
        <v>0</v>
      </c>
      <c r="E705" s="19">
        <f>SUMIF('C1'!$B$6:$B$2228,B705,'C1'!$D$6:$D$2228)</f>
        <v>0</v>
      </c>
      <c r="F705" s="19">
        <f>SUMIF('C2'!$B$6:$B$2228,B705,'C2'!$D$6:$D$2228)</f>
        <v>0</v>
      </c>
      <c r="G705" s="19">
        <f>SUMIF('C3'!$B$6:$B$2228,B705,'C3'!$D$6:$D$2228)</f>
        <v>0</v>
      </c>
      <c r="H705" s="22"/>
      <c r="I705" s="22"/>
      <c r="J705" s="4" t="s">
        <v>691</v>
      </c>
      <c r="K705" s="4" t="s">
        <v>733</v>
      </c>
    </row>
    <row r="706" spans="2:11">
      <c r="B706" s="1">
        <v>31039</v>
      </c>
      <c r="C706" s="4" t="s">
        <v>749</v>
      </c>
      <c r="D706" s="19">
        <f t="shared" si="10"/>
        <v>0</v>
      </c>
      <c r="E706" s="19">
        <f>SUMIF('C1'!$B$6:$B$2228,B706,'C1'!$D$6:$D$2228)</f>
        <v>0</v>
      </c>
      <c r="F706" s="19">
        <f>SUMIF('C2'!$B$6:$B$2228,B706,'C2'!$D$6:$D$2228)</f>
        <v>0</v>
      </c>
      <c r="G706" s="19">
        <f>SUMIF('C3'!$B$6:$B$2228,B706,'C3'!$D$6:$D$2228)</f>
        <v>0</v>
      </c>
      <c r="H706" s="22"/>
      <c r="I706" s="22"/>
      <c r="J706" s="4" t="s">
        <v>691</v>
      </c>
      <c r="K706" s="4" t="s">
        <v>733</v>
      </c>
    </row>
    <row r="707" spans="2:11">
      <c r="B707" s="1">
        <v>31040</v>
      </c>
      <c r="C707" s="4" t="s">
        <v>750</v>
      </c>
      <c r="D707" s="19">
        <f t="shared" si="10"/>
        <v>0</v>
      </c>
      <c r="E707" s="19">
        <f>SUMIF('C1'!$B$6:$B$2228,B707,'C1'!$D$6:$D$2228)</f>
        <v>0</v>
      </c>
      <c r="F707" s="19">
        <f>SUMIF('C2'!$B$6:$B$2228,B707,'C2'!$D$6:$D$2228)</f>
        <v>0</v>
      </c>
      <c r="G707" s="19">
        <f>SUMIF('C3'!$B$6:$B$2228,B707,'C3'!$D$6:$D$2228)</f>
        <v>0</v>
      </c>
      <c r="H707" s="22"/>
      <c r="I707" s="22"/>
      <c r="J707" s="4" t="s">
        <v>691</v>
      </c>
      <c r="K707" s="4" t="s">
        <v>733</v>
      </c>
    </row>
    <row r="708" spans="2:11">
      <c r="B708" s="1">
        <v>31041</v>
      </c>
      <c r="C708" s="4" t="s">
        <v>751</v>
      </c>
      <c r="D708" s="19">
        <f t="shared" si="10"/>
        <v>0</v>
      </c>
      <c r="E708" s="19">
        <f>SUMIF('C1'!$B$6:$B$2228,B708,'C1'!$D$6:$D$2228)</f>
        <v>0</v>
      </c>
      <c r="F708" s="19">
        <f>SUMIF('C2'!$B$6:$B$2228,B708,'C2'!$D$6:$D$2228)</f>
        <v>0</v>
      </c>
      <c r="G708" s="19">
        <f>SUMIF('C3'!$B$6:$B$2228,B708,'C3'!$D$6:$D$2228)</f>
        <v>0</v>
      </c>
      <c r="H708" s="22"/>
      <c r="I708" s="22"/>
      <c r="J708" s="4" t="s">
        <v>691</v>
      </c>
      <c r="K708" s="4" t="s">
        <v>733</v>
      </c>
    </row>
    <row r="709" spans="2:11">
      <c r="B709" s="1">
        <v>31042</v>
      </c>
      <c r="C709" s="4" t="s">
        <v>752</v>
      </c>
      <c r="D709" s="19">
        <f t="shared" si="10"/>
        <v>0</v>
      </c>
      <c r="E709" s="19">
        <f>SUMIF('C1'!$B$6:$B$2228,B709,'C1'!$D$6:$D$2228)</f>
        <v>0</v>
      </c>
      <c r="F709" s="19">
        <f>SUMIF('C2'!$B$6:$B$2228,B709,'C2'!$D$6:$D$2228)</f>
        <v>0</v>
      </c>
      <c r="G709" s="19">
        <f>SUMIF('C3'!$B$6:$B$2228,B709,'C3'!$D$6:$D$2228)</f>
        <v>0</v>
      </c>
      <c r="H709" s="22"/>
      <c r="I709" s="22"/>
      <c r="J709" s="4" t="s">
        <v>691</v>
      </c>
      <c r="K709" s="4" t="s">
        <v>733</v>
      </c>
    </row>
    <row r="710" spans="2:11">
      <c r="B710" s="1">
        <v>31043</v>
      </c>
      <c r="C710" s="4" t="s">
        <v>753</v>
      </c>
      <c r="D710" s="19">
        <f t="shared" si="10"/>
        <v>0</v>
      </c>
      <c r="E710" s="19">
        <f>SUMIF('C1'!$B$6:$B$2228,B710,'C1'!$D$6:$D$2228)</f>
        <v>0</v>
      </c>
      <c r="F710" s="19">
        <f>SUMIF('C2'!$B$6:$B$2228,B710,'C2'!$D$6:$D$2228)</f>
        <v>0</v>
      </c>
      <c r="G710" s="19">
        <f>SUMIF('C3'!$B$6:$B$2228,B710,'C3'!$D$6:$D$2228)</f>
        <v>0</v>
      </c>
      <c r="H710" s="22"/>
      <c r="I710" s="22"/>
      <c r="J710" s="4" t="s">
        <v>691</v>
      </c>
      <c r="K710" s="4" t="s">
        <v>733</v>
      </c>
    </row>
    <row r="711" spans="2:11">
      <c r="B711" s="1">
        <v>31044</v>
      </c>
      <c r="C711" s="4" t="s">
        <v>754</v>
      </c>
      <c r="D711" s="19">
        <f t="shared" ref="D711:D774" si="11">SUM(E711:I711)</f>
        <v>0</v>
      </c>
      <c r="E711" s="19">
        <f>SUMIF('C1'!$B$6:$B$2228,B711,'C1'!$D$6:$D$2228)</f>
        <v>0</v>
      </c>
      <c r="F711" s="19">
        <f>SUMIF('C2'!$B$6:$B$2228,B711,'C2'!$D$6:$D$2228)</f>
        <v>0</v>
      </c>
      <c r="G711" s="19">
        <f>SUMIF('C3'!$B$6:$B$2228,B711,'C3'!$D$6:$D$2228)</f>
        <v>0</v>
      </c>
      <c r="H711" s="22"/>
      <c r="I711" s="22"/>
      <c r="J711" s="4" t="s">
        <v>691</v>
      </c>
      <c r="K711" s="4" t="s">
        <v>712</v>
      </c>
    </row>
    <row r="712" spans="2:11">
      <c r="B712" s="1">
        <v>31045</v>
      </c>
      <c r="C712" s="4" t="s">
        <v>755</v>
      </c>
      <c r="D712" s="19">
        <f t="shared" si="11"/>
        <v>0</v>
      </c>
      <c r="E712" s="19">
        <f>SUMIF('C1'!$B$6:$B$2228,B712,'C1'!$D$6:$D$2228)</f>
        <v>0</v>
      </c>
      <c r="F712" s="19">
        <f>SUMIF('C2'!$B$6:$B$2228,B712,'C2'!$D$6:$D$2228)</f>
        <v>0</v>
      </c>
      <c r="G712" s="19">
        <f>SUMIF('C3'!$B$6:$B$2228,B712,'C3'!$D$6:$D$2228)</f>
        <v>0</v>
      </c>
      <c r="H712" s="22"/>
      <c r="I712" s="22"/>
      <c r="J712" s="4" t="s">
        <v>691</v>
      </c>
      <c r="K712" s="4" t="s">
        <v>712</v>
      </c>
    </row>
    <row r="713" spans="2:11">
      <c r="B713" s="1">
        <v>31046</v>
      </c>
      <c r="C713" s="4" t="s">
        <v>756</v>
      </c>
      <c r="D713" s="19">
        <f t="shared" si="11"/>
        <v>0</v>
      </c>
      <c r="E713" s="19">
        <f>SUMIF('C1'!$B$6:$B$2228,B713,'C1'!$D$6:$D$2228)</f>
        <v>0</v>
      </c>
      <c r="F713" s="19">
        <f>SUMIF('C2'!$B$6:$B$2228,B713,'C2'!$D$6:$D$2228)</f>
        <v>0</v>
      </c>
      <c r="G713" s="19">
        <f>SUMIF('C3'!$B$6:$B$2228,B713,'C3'!$D$6:$D$2228)</f>
        <v>0</v>
      </c>
      <c r="H713" s="22"/>
      <c r="I713" s="22"/>
      <c r="J713" s="4" t="s">
        <v>691</v>
      </c>
      <c r="K713" s="4" t="s">
        <v>712</v>
      </c>
    </row>
    <row r="714" spans="2:11">
      <c r="B714" s="1">
        <v>31047</v>
      </c>
      <c r="C714" s="4" t="s">
        <v>757</v>
      </c>
      <c r="D714" s="19">
        <f t="shared" si="11"/>
        <v>0</v>
      </c>
      <c r="E714" s="19">
        <f>SUMIF('C1'!$B$6:$B$2228,B714,'C1'!$D$6:$D$2228)</f>
        <v>0</v>
      </c>
      <c r="F714" s="19">
        <f>SUMIF('C2'!$B$6:$B$2228,B714,'C2'!$D$6:$D$2228)</f>
        <v>0</v>
      </c>
      <c r="G714" s="19">
        <f>SUMIF('C3'!$B$6:$B$2228,B714,'C3'!$D$6:$D$2228)</f>
        <v>0</v>
      </c>
      <c r="H714" s="22"/>
      <c r="I714" s="22"/>
      <c r="J714" s="4" t="s">
        <v>691</v>
      </c>
      <c r="K714" s="4" t="s">
        <v>733</v>
      </c>
    </row>
    <row r="715" spans="2:11">
      <c r="B715" s="1">
        <v>31048</v>
      </c>
      <c r="C715" s="4" t="s">
        <v>758</v>
      </c>
      <c r="D715" s="19">
        <f t="shared" si="11"/>
        <v>0</v>
      </c>
      <c r="E715" s="19">
        <f>SUMIF('C1'!$B$6:$B$2228,B715,'C1'!$D$6:$D$2228)</f>
        <v>0</v>
      </c>
      <c r="F715" s="19">
        <f>SUMIF('C2'!$B$6:$B$2228,B715,'C2'!$D$6:$D$2228)</f>
        <v>0</v>
      </c>
      <c r="G715" s="19">
        <f>SUMIF('C3'!$B$6:$B$2228,B715,'C3'!$D$6:$D$2228)</f>
        <v>0</v>
      </c>
      <c r="H715" s="22"/>
      <c r="I715" s="22"/>
      <c r="J715" s="4" t="s">
        <v>691</v>
      </c>
      <c r="K715" s="4" t="s">
        <v>712</v>
      </c>
    </row>
    <row r="716" spans="2:11">
      <c r="B716" s="1">
        <v>31049</v>
      </c>
      <c r="C716" s="4" t="s">
        <v>759</v>
      </c>
      <c r="D716" s="19">
        <f t="shared" si="11"/>
        <v>0</v>
      </c>
      <c r="E716" s="19">
        <f>SUMIF('C1'!$B$6:$B$2228,B716,'C1'!$D$6:$D$2228)</f>
        <v>0</v>
      </c>
      <c r="F716" s="19">
        <f>SUMIF('C2'!$B$6:$B$2228,B716,'C2'!$D$6:$D$2228)</f>
        <v>0</v>
      </c>
      <c r="G716" s="19">
        <f>SUMIF('C3'!$B$6:$B$2228,B716,'C3'!$D$6:$D$2228)</f>
        <v>0</v>
      </c>
      <c r="H716" s="22"/>
      <c r="I716" s="22"/>
      <c r="J716" s="4" t="s">
        <v>691</v>
      </c>
      <c r="K716" s="4" t="s">
        <v>712</v>
      </c>
    </row>
    <row r="717" spans="2:11">
      <c r="B717" s="1">
        <v>31050</v>
      </c>
      <c r="C717" s="4" t="s">
        <v>760</v>
      </c>
      <c r="D717" s="19">
        <f t="shared" si="11"/>
        <v>0</v>
      </c>
      <c r="E717" s="19">
        <f>SUMIF('C1'!$B$6:$B$2228,B717,'C1'!$D$6:$D$2228)</f>
        <v>0</v>
      </c>
      <c r="F717" s="19">
        <f>SUMIF('C2'!$B$6:$B$2228,B717,'C2'!$D$6:$D$2228)</f>
        <v>0</v>
      </c>
      <c r="G717" s="19">
        <f>SUMIF('C3'!$B$6:$B$2228,B717,'C3'!$D$6:$D$2228)</f>
        <v>0</v>
      </c>
      <c r="H717" s="22"/>
      <c r="I717" s="22"/>
      <c r="J717" s="4" t="s">
        <v>691</v>
      </c>
      <c r="K717" s="4" t="s">
        <v>712</v>
      </c>
    </row>
    <row r="718" spans="2:11">
      <c r="B718" s="1">
        <v>31051</v>
      </c>
      <c r="C718" s="4" t="s">
        <v>761</v>
      </c>
      <c r="D718" s="19">
        <f t="shared" si="11"/>
        <v>0</v>
      </c>
      <c r="E718" s="19">
        <f>SUMIF('C1'!$B$6:$B$2228,B718,'C1'!$D$6:$D$2228)</f>
        <v>0</v>
      </c>
      <c r="F718" s="19">
        <f>SUMIF('C2'!$B$6:$B$2228,B718,'C2'!$D$6:$D$2228)</f>
        <v>0</v>
      </c>
      <c r="G718" s="19">
        <f>SUMIF('C3'!$B$6:$B$2228,B718,'C3'!$D$6:$D$2228)</f>
        <v>0</v>
      </c>
      <c r="H718" s="22"/>
      <c r="I718" s="22"/>
      <c r="J718" s="4" t="s">
        <v>691</v>
      </c>
      <c r="K718" s="4" t="s">
        <v>733</v>
      </c>
    </row>
    <row r="719" spans="2:11">
      <c r="B719" s="1">
        <v>31052</v>
      </c>
      <c r="C719" s="4" t="s">
        <v>762</v>
      </c>
      <c r="D719" s="19">
        <f t="shared" si="11"/>
        <v>0</v>
      </c>
      <c r="E719" s="19">
        <f>SUMIF('C1'!$B$6:$B$2228,B719,'C1'!$D$6:$D$2228)</f>
        <v>0</v>
      </c>
      <c r="F719" s="19">
        <f>SUMIF('C2'!$B$6:$B$2228,B719,'C2'!$D$6:$D$2228)</f>
        <v>0</v>
      </c>
      <c r="G719" s="19">
        <f>SUMIF('C3'!$B$6:$B$2228,B719,'C3'!$D$6:$D$2228)</f>
        <v>0</v>
      </c>
      <c r="H719" s="22"/>
      <c r="I719" s="22"/>
      <c r="J719" s="4" t="s">
        <v>691</v>
      </c>
      <c r="K719" s="4" t="s">
        <v>733</v>
      </c>
    </row>
    <row r="720" spans="2:11">
      <c r="B720" s="1">
        <v>31053</v>
      </c>
      <c r="C720" s="4" t="s">
        <v>763</v>
      </c>
      <c r="D720" s="19">
        <f t="shared" si="11"/>
        <v>0</v>
      </c>
      <c r="E720" s="19">
        <f>SUMIF('C1'!$B$6:$B$2228,B720,'C1'!$D$6:$D$2228)</f>
        <v>0</v>
      </c>
      <c r="F720" s="19">
        <f>SUMIF('C2'!$B$6:$B$2228,B720,'C2'!$D$6:$D$2228)</f>
        <v>0</v>
      </c>
      <c r="G720" s="19">
        <f>SUMIF('C3'!$B$6:$B$2228,B720,'C3'!$D$6:$D$2228)</f>
        <v>0</v>
      </c>
      <c r="H720" s="22"/>
      <c r="I720" s="22"/>
      <c r="J720" s="4" t="s">
        <v>691</v>
      </c>
      <c r="K720" s="4" t="s">
        <v>733</v>
      </c>
    </row>
    <row r="721" spans="2:11">
      <c r="B721" s="1">
        <v>31054</v>
      </c>
      <c r="C721" s="4" t="s">
        <v>764</v>
      </c>
      <c r="D721" s="19">
        <f t="shared" si="11"/>
        <v>0</v>
      </c>
      <c r="E721" s="19">
        <f>SUMIF('C1'!$B$6:$B$2228,B721,'C1'!$D$6:$D$2228)</f>
        <v>0</v>
      </c>
      <c r="F721" s="19">
        <f>SUMIF('C2'!$B$6:$B$2228,B721,'C2'!$D$6:$D$2228)</f>
        <v>0</v>
      </c>
      <c r="G721" s="19">
        <f>SUMIF('C3'!$B$6:$B$2228,B721,'C3'!$D$6:$D$2228)</f>
        <v>0</v>
      </c>
      <c r="H721" s="22"/>
      <c r="I721" s="22"/>
      <c r="J721" s="4" t="s">
        <v>691</v>
      </c>
      <c r="K721" s="4" t="s">
        <v>733</v>
      </c>
    </row>
    <row r="722" spans="2:11">
      <c r="B722" s="1">
        <v>31055</v>
      </c>
      <c r="C722" s="4" t="s">
        <v>765</v>
      </c>
      <c r="D722" s="19">
        <f t="shared" si="11"/>
        <v>0</v>
      </c>
      <c r="E722" s="19">
        <f>SUMIF('C1'!$B$6:$B$2228,B722,'C1'!$D$6:$D$2228)</f>
        <v>0</v>
      </c>
      <c r="F722" s="19">
        <f>SUMIF('C2'!$B$6:$B$2228,B722,'C2'!$D$6:$D$2228)</f>
        <v>0</v>
      </c>
      <c r="G722" s="19">
        <f>SUMIF('C3'!$B$6:$B$2228,B722,'C3'!$D$6:$D$2228)</f>
        <v>0</v>
      </c>
      <c r="H722" s="22"/>
      <c r="I722" s="22"/>
      <c r="J722" s="4" t="s">
        <v>691</v>
      </c>
      <c r="K722" s="4" t="s">
        <v>733</v>
      </c>
    </row>
    <row r="723" spans="2:11">
      <c r="B723" s="1">
        <v>31056</v>
      </c>
      <c r="C723" s="4" t="s">
        <v>766</v>
      </c>
      <c r="D723" s="19">
        <f t="shared" si="11"/>
        <v>0</v>
      </c>
      <c r="E723" s="19">
        <f>SUMIF('C1'!$B$6:$B$2228,B723,'C1'!$D$6:$D$2228)</f>
        <v>0</v>
      </c>
      <c r="F723" s="19">
        <f>SUMIF('C2'!$B$6:$B$2228,B723,'C2'!$D$6:$D$2228)</f>
        <v>0</v>
      </c>
      <c r="G723" s="19">
        <f>SUMIF('C3'!$B$6:$B$2228,B723,'C3'!$D$6:$D$2228)</f>
        <v>0</v>
      </c>
      <c r="H723" s="22"/>
      <c r="I723" s="22"/>
      <c r="J723" s="4" t="s">
        <v>691</v>
      </c>
      <c r="K723" s="4" t="s">
        <v>712</v>
      </c>
    </row>
    <row r="724" spans="2:11">
      <c r="B724" s="1">
        <v>31057</v>
      </c>
      <c r="C724" s="4" t="s">
        <v>767</v>
      </c>
      <c r="D724" s="19">
        <f t="shared" si="11"/>
        <v>0</v>
      </c>
      <c r="E724" s="19">
        <f>SUMIF('C1'!$B$6:$B$2228,B724,'C1'!$D$6:$D$2228)</f>
        <v>0</v>
      </c>
      <c r="F724" s="19">
        <f>SUMIF('C2'!$B$6:$B$2228,B724,'C2'!$D$6:$D$2228)</f>
        <v>0</v>
      </c>
      <c r="G724" s="19">
        <f>SUMIF('C3'!$B$6:$B$2228,B724,'C3'!$D$6:$D$2228)</f>
        <v>0</v>
      </c>
      <c r="H724" s="22"/>
      <c r="I724" s="22"/>
      <c r="J724" s="4" t="s">
        <v>691</v>
      </c>
      <c r="K724" s="4" t="s">
        <v>712</v>
      </c>
    </row>
    <row r="725" spans="2:11">
      <c r="B725" s="1">
        <v>31058</v>
      </c>
      <c r="C725" s="4" t="s">
        <v>768</v>
      </c>
      <c r="D725" s="19">
        <f t="shared" si="11"/>
        <v>0</v>
      </c>
      <c r="E725" s="19">
        <f>SUMIF('C1'!$B$6:$B$2228,B725,'C1'!$D$6:$D$2228)</f>
        <v>0</v>
      </c>
      <c r="F725" s="19">
        <f>SUMIF('C2'!$B$6:$B$2228,B725,'C2'!$D$6:$D$2228)</f>
        <v>0</v>
      </c>
      <c r="G725" s="19">
        <f>SUMIF('C3'!$B$6:$B$2228,B725,'C3'!$D$6:$D$2228)</f>
        <v>0</v>
      </c>
      <c r="H725" s="22"/>
      <c r="I725" s="22"/>
      <c r="J725" s="4" t="s">
        <v>691</v>
      </c>
      <c r="K725" s="4" t="s">
        <v>706</v>
      </c>
    </row>
    <row r="726" spans="2:11">
      <c r="B726" s="1">
        <v>31059</v>
      </c>
      <c r="C726" s="4" t="s">
        <v>769</v>
      </c>
      <c r="D726" s="19">
        <f t="shared" si="11"/>
        <v>0</v>
      </c>
      <c r="E726" s="19">
        <f>SUMIF('C1'!$B$6:$B$2228,B726,'C1'!$D$6:$D$2228)</f>
        <v>0</v>
      </c>
      <c r="F726" s="19">
        <f>SUMIF('C2'!$B$6:$B$2228,B726,'C2'!$D$6:$D$2228)</f>
        <v>0</v>
      </c>
      <c r="G726" s="19">
        <f>SUMIF('C3'!$B$6:$B$2228,B726,'C3'!$D$6:$D$2228)</f>
        <v>0</v>
      </c>
      <c r="H726" s="22"/>
      <c r="I726" s="22"/>
      <c r="J726" s="4" t="s">
        <v>691</v>
      </c>
      <c r="K726" s="4" t="s">
        <v>712</v>
      </c>
    </row>
    <row r="727" spans="2:11">
      <c r="B727" s="1">
        <v>31060</v>
      </c>
      <c r="C727" s="4" t="s">
        <v>770</v>
      </c>
      <c r="D727" s="19">
        <f t="shared" si="11"/>
        <v>0</v>
      </c>
      <c r="E727" s="19">
        <f>SUMIF('C1'!$B$6:$B$2228,B727,'C1'!$D$6:$D$2228)</f>
        <v>0</v>
      </c>
      <c r="F727" s="19">
        <f>SUMIF('C2'!$B$6:$B$2228,B727,'C2'!$D$6:$D$2228)</f>
        <v>0</v>
      </c>
      <c r="G727" s="19">
        <f>SUMIF('C3'!$B$6:$B$2228,B727,'C3'!$D$6:$D$2228)</f>
        <v>0</v>
      </c>
      <c r="H727" s="22"/>
      <c r="I727" s="22"/>
      <c r="J727" s="4" t="s">
        <v>691</v>
      </c>
      <c r="K727" s="4" t="s">
        <v>712</v>
      </c>
    </row>
    <row r="728" spans="2:11">
      <c r="B728" s="1">
        <v>31061</v>
      </c>
      <c r="C728" s="4" t="s">
        <v>771</v>
      </c>
      <c r="D728" s="19">
        <f t="shared" si="11"/>
        <v>0</v>
      </c>
      <c r="E728" s="19">
        <f>SUMIF('C1'!$B$6:$B$2228,B728,'C1'!$D$6:$D$2228)</f>
        <v>0</v>
      </c>
      <c r="F728" s="19">
        <f>SUMIF('C2'!$B$6:$B$2228,B728,'C2'!$D$6:$D$2228)</f>
        <v>0</v>
      </c>
      <c r="G728" s="19">
        <f>SUMIF('C3'!$B$6:$B$2228,B728,'C3'!$D$6:$D$2228)</f>
        <v>0</v>
      </c>
      <c r="H728" s="22"/>
      <c r="I728" s="22"/>
      <c r="J728" s="4" t="s">
        <v>691</v>
      </c>
      <c r="K728" s="4" t="s">
        <v>712</v>
      </c>
    </row>
    <row r="729" spans="2:11">
      <c r="B729" s="1">
        <v>31062</v>
      </c>
      <c r="C729" s="4" t="s">
        <v>772</v>
      </c>
      <c r="D729" s="19">
        <f t="shared" si="11"/>
        <v>0</v>
      </c>
      <c r="E729" s="19">
        <f>SUMIF('C1'!$B$6:$B$2228,B729,'C1'!$D$6:$D$2228)</f>
        <v>0</v>
      </c>
      <c r="F729" s="19">
        <f>SUMIF('C2'!$B$6:$B$2228,B729,'C2'!$D$6:$D$2228)</f>
        <v>0</v>
      </c>
      <c r="G729" s="19">
        <f>SUMIF('C3'!$B$6:$B$2228,B729,'C3'!$D$6:$D$2228)</f>
        <v>0</v>
      </c>
      <c r="H729" s="22"/>
      <c r="I729" s="22"/>
      <c r="J729" s="4" t="s">
        <v>691</v>
      </c>
      <c r="K729" s="4" t="s">
        <v>712</v>
      </c>
    </row>
    <row r="730" spans="2:11">
      <c r="B730" s="1">
        <v>31063</v>
      </c>
      <c r="C730" s="4" t="s">
        <v>773</v>
      </c>
      <c r="D730" s="19">
        <f t="shared" si="11"/>
        <v>0</v>
      </c>
      <c r="E730" s="19">
        <f>SUMIF('C1'!$B$6:$B$2228,B730,'C1'!$D$6:$D$2228)</f>
        <v>0</v>
      </c>
      <c r="F730" s="19">
        <f>SUMIF('C2'!$B$6:$B$2228,B730,'C2'!$D$6:$D$2228)</f>
        <v>0</v>
      </c>
      <c r="G730" s="19">
        <f>SUMIF('C3'!$B$6:$B$2228,B730,'C3'!$D$6:$D$2228)</f>
        <v>0</v>
      </c>
      <c r="H730" s="22"/>
      <c r="I730" s="22"/>
      <c r="J730" s="4" t="s">
        <v>691</v>
      </c>
      <c r="K730" s="4" t="s">
        <v>712</v>
      </c>
    </row>
    <row r="731" spans="2:11">
      <c r="B731" s="1">
        <v>31064</v>
      </c>
      <c r="C731" s="4" t="s">
        <v>774</v>
      </c>
      <c r="D731" s="19">
        <f t="shared" si="11"/>
        <v>0</v>
      </c>
      <c r="E731" s="19">
        <f>SUMIF('C1'!$B$6:$B$2228,B731,'C1'!$D$6:$D$2228)</f>
        <v>0</v>
      </c>
      <c r="F731" s="19">
        <f>SUMIF('C2'!$B$6:$B$2228,B731,'C2'!$D$6:$D$2228)</f>
        <v>0</v>
      </c>
      <c r="G731" s="19">
        <f>SUMIF('C3'!$B$6:$B$2228,B731,'C3'!$D$6:$D$2228)</f>
        <v>0</v>
      </c>
      <c r="H731" s="22"/>
      <c r="I731" s="22"/>
      <c r="J731" s="4" t="s">
        <v>691</v>
      </c>
      <c r="K731" s="4" t="s">
        <v>712</v>
      </c>
    </row>
    <row r="732" spans="2:11">
      <c r="B732" s="1">
        <v>31065</v>
      </c>
      <c r="C732" s="4" t="s">
        <v>775</v>
      </c>
      <c r="D732" s="19">
        <f t="shared" si="11"/>
        <v>0</v>
      </c>
      <c r="E732" s="19">
        <f>SUMIF('C1'!$B$6:$B$2228,B732,'C1'!$D$6:$D$2228)</f>
        <v>0</v>
      </c>
      <c r="F732" s="19">
        <f>SUMIF('C2'!$B$6:$B$2228,B732,'C2'!$D$6:$D$2228)</f>
        <v>0</v>
      </c>
      <c r="G732" s="19">
        <f>SUMIF('C3'!$B$6:$B$2228,B732,'C3'!$D$6:$D$2228)</f>
        <v>0</v>
      </c>
      <c r="H732" s="22"/>
      <c r="I732" s="22"/>
      <c r="J732" s="4" t="s">
        <v>691</v>
      </c>
      <c r="K732" s="4" t="s">
        <v>712</v>
      </c>
    </row>
    <row r="733" spans="2:11">
      <c r="B733" s="1">
        <v>31066</v>
      </c>
      <c r="C733" s="4" t="s">
        <v>776</v>
      </c>
      <c r="D733" s="19">
        <f t="shared" si="11"/>
        <v>0</v>
      </c>
      <c r="E733" s="19">
        <f>SUMIF('C1'!$B$6:$B$2228,B733,'C1'!$D$6:$D$2228)</f>
        <v>0</v>
      </c>
      <c r="F733" s="19">
        <f>SUMIF('C2'!$B$6:$B$2228,B733,'C2'!$D$6:$D$2228)</f>
        <v>0</v>
      </c>
      <c r="G733" s="19">
        <f>SUMIF('C3'!$B$6:$B$2228,B733,'C3'!$D$6:$D$2228)</f>
        <v>0</v>
      </c>
      <c r="H733" s="22"/>
      <c r="I733" s="22"/>
      <c r="J733" s="4" t="s">
        <v>691</v>
      </c>
      <c r="K733" s="4" t="s">
        <v>712</v>
      </c>
    </row>
    <row r="734" spans="2:11">
      <c r="B734" s="1">
        <v>31067</v>
      </c>
      <c r="C734" s="4" t="s">
        <v>777</v>
      </c>
      <c r="D734" s="19">
        <f t="shared" si="11"/>
        <v>0</v>
      </c>
      <c r="E734" s="19">
        <f>SUMIF('C1'!$B$6:$B$2228,B734,'C1'!$D$6:$D$2228)</f>
        <v>0</v>
      </c>
      <c r="F734" s="19">
        <f>SUMIF('C2'!$B$6:$B$2228,B734,'C2'!$D$6:$D$2228)</f>
        <v>0</v>
      </c>
      <c r="G734" s="19">
        <f>SUMIF('C3'!$B$6:$B$2228,B734,'C3'!$D$6:$D$2228)</f>
        <v>0</v>
      </c>
      <c r="H734" s="22"/>
      <c r="I734" s="22"/>
      <c r="J734" s="4" t="s">
        <v>691</v>
      </c>
      <c r="K734" s="4" t="s">
        <v>712</v>
      </c>
    </row>
    <row r="735" spans="2:11">
      <c r="B735" s="1">
        <v>31068</v>
      </c>
      <c r="C735" s="4" t="s">
        <v>778</v>
      </c>
      <c r="D735" s="19">
        <f t="shared" si="11"/>
        <v>0</v>
      </c>
      <c r="E735" s="19">
        <f>SUMIF('C1'!$B$6:$B$2228,B735,'C1'!$D$6:$D$2228)</f>
        <v>0</v>
      </c>
      <c r="F735" s="19">
        <f>SUMIF('C2'!$B$6:$B$2228,B735,'C2'!$D$6:$D$2228)</f>
        <v>0</v>
      </c>
      <c r="G735" s="19">
        <f>SUMIF('C3'!$B$6:$B$2228,B735,'C3'!$D$6:$D$2228)</f>
        <v>0</v>
      </c>
      <c r="H735" s="22"/>
      <c r="I735" s="22"/>
      <c r="J735" s="4" t="s">
        <v>691</v>
      </c>
      <c r="K735" s="4" t="s">
        <v>712</v>
      </c>
    </row>
    <row r="736" spans="2:11">
      <c r="B736" s="1">
        <v>31069</v>
      </c>
      <c r="C736" s="4" t="s">
        <v>779</v>
      </c>
      <c r="D736" s="19">
        <f t="shared" si="11"/>
        <v>0</v>
      </c>
      <c r="E736" s="19">
        <f>SUMIF('C1'!$B$6:$B$2228,B736,'C1'!$D$6:$D$2228)</f>
        <v>0</v>
      </c>
      <c r="F736" s="19">
        <f>SUMIF('C2'!$B$6:$B$2228,B736,'C2'!$D$6:$D$2228)</f>
        <v>0</v>
      </c>
      <c r="G736" s="19">
        <f>SUMIF('C3'!$B$6:$B$2228,B736,'C3'!$D$6:$D$2228)</f>
        <v>0</v>
      </c>
      <c r="H736" s="22"/>
      <c r="I736" s="22"/>
      <c r="J736" s="4" t="s">
        <v>691</v>
      </c>
      <c r="K736" s="4" t="s">
        <v>692</v>
      </c>
    </row>
    <row r="737" spans="2:11">
      <c r="B737" s="1">
        <v>31070</v>
      </c>
      <c r="C737" s="4" t="s">
        <v>780</v>
      </c>
      <c r="D737" s="19">
        <f t="shared" si="11"/>
        <v>0</v>
      </c>
      <c r="E737" s="19">
        <f>SUMIF('C1'!$B$6:$B$2228,B737,'C1'!$D$6:$D$2228)</f>
        <v>0</v>
      </c>
      <c r="F737" s="19">
        <f>SUMIF('C2'!$B$6:$B$2228,B737,'C2'!$D$6:$D$2228)</f>
        <v>0</v>
      </c>
      <c r="G737" s="19">
        <f>SUMIF('C3'!$B$6:$B$2228,B737,'C3'!$D$6:$D$2228)</f>
        <v>0</v>
      </c>
      <c r="H737" s="22"/>
      <c r="I737" s="22"/>
      <c r="J737" s="4" t="s">
        <v>691</v>
      </c>
      <c r="K737" s="4" t="s">
        <v>692</v>
      </c>
    </row>
    <row r="738" spans="2:11">
      <c r="B738" s="1">
        <v>31071</v>
      </c>
      <c r="C738" s="4" t="s">
        <v>781</v>
      </c>
      <c r="D738" s="19">
        <f t="shared" si="11"/>
        <v>0</v>
      </c>
      <c r="E738" s="19">
        <f>SUMIF('C1'!$B$6:$B$2228,B738,'C1'!$D$6:$D$2228)</f>
        <v>0</v>
      </c>
      <c r="F738" s="19">
        <f>SUMIF('C2'!$B$6:$B$2228,B738,'C2'!$D$6:$D$2228)</f>
        <v>0</v>
      </c>
      <c r="G738" s="19">
        <f>SUMIF('C3'!$B$6:$B$2228,B738,'C3'!$D$6:$D$2228)</f>
        <v>0</v>
      </c>
      <c r="H738" s="22"/>
      <c r="I738" s="22"/>
      <c r="J738" s="4" t="s">
        <v>691</v>
      </c>
      <c r="K738" s="4" t="s">
        <v>692</v>
      </c>
    </row>
    <row r="739" spans="2:11">
      <c r="B739" s="1">
        <v>31072</v>
      </c>
      <c r="C739" s="4" t="s">
        <v>782</v>
      </c>
      <c r="D739" s="19">
        <f t="shared" si="11"/>
        <v>0</v>
      </c>
      <c r="E739" s="19">
        <f>SUMIF('C1'!$B$6:$B$2228,B739,'C1'!$D$6:$D$2228)</f>
        <v>0</v>
      </c>
      <c r="F739" s="19">
        <f>SUMIF('C2'!$B$6:$B$2228,B739,'C2'!$D$6:$D$2228)</f>
        <v>0</v>
      </c>
      <c r="G739" s="19">
        <f>SUMIF('C3'!$B$6:$B$2228,B739,'C3'!$D$6:$D$2228)</f>
        <v>0</v>
      </c>
      <c r="H739" s="22"/>
      <c r="I739" s="22"/>
      <c r="J739" s="4" t="s">
        <v>691</v>
      </c>
      <c r="K739" s="4" t="s">
        <v>692</v>
      </c>
    </row>
    <row r="740" spans="2:11">
      <c r="B740" s="1">
        <v>31073</v>
      </c>
      <c r="C740" s="4" t="s">
        <v>783</v>
      </c>
      <c r="D740" s="19">
        <f t="shared" si="11"/>
        <v>0</v>
      </c>
      <c r="E740" s="19">
        <f>SUMIF('C1'!$B$6:$B$2228,B740,'C1'!$D$6:$D$2228)</f>
        <v>0</v>
      </c>
      <c r="F740" s="19">
        <f>SUMIF('C2'!$B$6:$B$2228,B740,'C2'!$D$6:$D$2228)</f>
        <v>0</v>
      </c>
      <c r="G740" s="19">
        <f>SUMIF('C3'!$B$6:$B$2228,B740,'C3'!$D$6:$D$2228)</f>
        <v>0</v>
      </c>
      <c r="H740" s="22"/>
      <c r="I740" s="22"/>
      <c r="J740" s="4" t="s">
        <v>691</v>
      </c>
      <c r="K740" s="4" t="s">
        <v>692</v>
      </c>
    </row>
    <row r="741" spans="2:11">
      <c r="B741" s="1">
        <v>31074</v>
      </c>
      <c r="C741" s="4" t="s">
        <v>784</v>
      </c>
      <c r="D741" s="19">
        <f t="shared" si="11"/>
        <v>0</v>
      </c>
      <c r="E741" s="19">
        <f>SUMIF('C1'!$B$6:$B$2228,B741,'C1'!$D$6:$D$2228)</f>
        <v>0</v>
      </c>
      <c r="F741" s="19">
        <f>SUMIF('C2'!$B$6:$B$2228,B741,'C2'!$D$6:$D$2228)</f>
        <v>0</v>
      </c>
      <c r="G741" s="19">
        <f>SUMIF('C3'!$B$6:$B$2228,B741,'C3'!$D$6:$D$2228)</f>
        <v>0</v>
      </c>
      <c r="H741" s="22"/>
      <c r="I741" s="22"/>
      <c r="J741" s="4" t="s">
        <v>691</v>
      </c>
      <c r="K741" s="4" t="s">
        <v>692</v>
      </c>
    </row>
    <row r="742" spans="2:11">
      <c r="B742" s="1">
        <v>31075</v>
      </c>
      <c r="C742" s="4" t="s">
        <v>785</v>
      </c>
      <c r="D742" s="19">
        <f t="shared" si="11"/>
        <v>0</v>
      </c>
      <c r="E742" s="19">
        <f>SUMIF('C1'!$B$6:$B$2228,B742,'C1'!$D$6:$D$2228)</f>
        <v>0</v>
      </c>
      <c r="F742" s="19">
        <f>SUMIF('C2'!$B$6:$B$2228,B742,'C2'!$D$6:$D$2228)</f>
        <v>0</v>
      </c>
      <c r="G742" s="19">
        <f>SUMIF('C3'!$B$6:$B$2228,B742,'C3'!$D$6:$D$2228)</f>
        <v>0</v>
      </c>
      <c r="H742" s="22"/>
      <c r="I742" s="22"/>
      <c r="J742" s="4" t="s">
        <v>691</v>
      </c>
      <c r="K742" s="4" t="s">
        <v>706</v>
      </c>
    </row>
    <row r="743" spans="2:11">
      <c r="B743" s="1">
        <v>31076</v>
      </c>
      <c r="C743" s="4" t="s">
        <v>786</v>
      </c>
      <c r="D743" s="19">
        <f t="shared" si="11"/>
        <v>0</v>
      </c>
      <c r="E743" s="19">
        <f>SUMIF('C1'!$B$6:$B$2228,B743,'C1'!$D$6:$D$2228)</f>
        <v>0</v>
      </c>
      <c r="F743" s="19">
        <f>SUMIF('C2'!$B$6:$B$2228,B743,'C2'!$D$6:$D$2228)</f>
        <v>0</v>
      </c>
      <c r="G743" s="19">
        <f>SUMIF('C3'!$B$6:$B$2228,B743,'C3'!$D$6:$D$2228)</f>
        <v>0</v>
      </c>
      <c r="H743" s="22"/>
      <c r="I743" s="22"/>
      <c r="J743" s="4" t="s">
        <v>691</v>
      </c>
      <c r="K743" s="4" t="s">
        <v>706</v>
      </c>
    </row>
    <row r="744" spans="2:11">
      <c r="B744" s="1">
        <v>31077</v>
      </c>
      <c r="C744" s="4" t="s">
        <v>787</v>
      </c>
      <c r="D744" s="19">
        <f t="shared" si="11"/>
        <v>0</v>
      </c>
      <c r="E744" s="19">
        <f>SUMIF('C1'!$B$6:$B$2228,B744,'C1'!$D$6:$D$2228)</f>
        <v>0</v>
      </c>
      <c r="F744" s="19">
        <f>SUMIF('C2'!$B$6:$B$2228,B744,'C2'!$D$6:$D$2228)</f>
        <v>0</v>
      </c>
      <c r="G744" s="19">
        <f>SUMIF('C3'!$B$6:$B$2228,B744,'C3'!$D$6:$D$2228)</f>
        <v>0</v>
      </c>
      <c r="H744" s="22"/>
      <c r="I744" s="22"/>
      <c r="J744" s="4" t="s">
        <v>691</v>
      </c>
      <c r="K744" s="4" t="s">
        <v>706</v>
      </c>
    </row>
    <row r="745" spans="2:11">
      <c r="B745" s="1">
        <v>31078</v>
      </c>
      <c r="C745" s="4" t="s">
        <v>788</v>
      </c>
      <c r="D745" s="19">
        <f t="shared" si="11"/>
        <v>0</v>
      </c>
      <c r="E745" s="19">
        <f>SUMIF('C1'!$B$6:$B$2228,B745,'C1'!$D$6:$D$2228)</f>
        <v>0</v>
      </c>
      <c r="F745" s="19">
        <f>SUMIF('C2'!$B$6:$B$2228,B745,'C2'!$D$6:$D$2228)</f>
        <v>0</v>
      </c>
      <c r="G745" s="19">
        <f>SUMIF('C3'!$B$6:$B$2228,B745,'C3'!$D$6:$D$2228)</f>
        <v>0</v>
      </c>
      <c r="H745" s="22"/>
      <c r="I745" s="22"/>
      <c r="J745" s="4" t="s">
        <v>691</v>
      </c>
      <c r="K745" s="4" t="s">
        <v>706</v>
      </c>
    </row>
    <row r="746" spans="2:11">
      <c r="B746" s="1">
        <v>31079</v>
      </c>
      <c r="C746" s="4" t="s">
        <v>789</v>
      </c>
      <c r="D746" s="19">
        <f t="shared" si="11"/>
        <v>0</v>
      </c>
      <c r="E746" s="19">
        <f>SUMIF('C1'!$B$6:$B$2228,B746,'C1'!$D$6:$D$2228)</f>
        <v>0</v>
      </c>
      <c r="F746" s="19">
        <f>SUMIF('C2'!$B$6:$B$2228,B746,'C2'!$D$6:$D$2228)</f>
        <v>0</v>
      </c>
      <c r="G746" s="19">
        <f>SUMIF('C3'!$B$6:$B$2228,B746,'C3'!$D$6:$D$2228)</f>
        <v>0</v>
      </c>
      <c r="H746" s="22"/>
      <c r="I746" s="22"/>
      <c r="J746" s="4" t="s">
        <v>691</v>
      </c>
      <c r="K746" s="4" t="s">
        <v>706</v>
      </c>
    </row>
    <row r="747" spans="2:11">
      <c r="B747" s="1">
        <v>31080</v>
      </c>
      <c r="C747" s="4" t="s">
        <v>790</v>
      </c>
      <c r="D747" s="19">
        <f t="shared" si="11"/>
        <v>0</v>
      </c>
      <c r="E747" s="19">
        <f>SUMIF('C1'!$B$6:$B$2228,B747,'C1'!$D$6:$D$2228)</f>
        <v>0</v>
      </c>
      <c r="F747" s="19">
        <f>SUMIF('C2'!$B$6:$B$2228,B747,'C2'!$D$6:$D$2228)</f>
        <v>0</v>
      </c>
      <c r="G747" s="19">
        <f>SUMIF('C3'!$B$6:$B$2228,B747,'C3'!$D$6:$D$2228)</f>
        <v>0</v>
      </c>
      <c r="H747" s="22"/>
      <c r="I747" s="22"/>
      <c r="J747" s="4" t="s">
        <v>691</v>
      </c>
      <c r="K747" s="4" t="s">
        <v>712</v>
      </c>
    </row>
    <row r="748" spans="2:11">
      <c r="B748" s="1">
        <v>31081</v>
      </c>
      <c r="C748" s="4" t="s">
        <v>791</v>
      </c>
      <c r="D748" s="19">
        <f t="shared" si="11"/>
        <v>0</v>
      </c>
      <c r="E748" s="19">
        <f>SUMIF('C1'!$B$6:$B$2228,B748,'C1'!$D$6:$D$2228)</f>
        <v>0</v>
      </c>
      <c r="F748" s="19">
        <f>SUMIF('C2'!$B$6:$B$2228,B748,'C2'!$D$6:$D$2228)</f>
        <v>0</v>
      </c>
      <c r="G748" s="19">
        <f>SUMIF('C3'!$B$6:$B$2228,B748,'C3'!$D$6:$D$2228)</f>
        <v>0</v>
      </c>
      <c r="H748" s="22"/>
      <c r="I748" s="22"/>
      <c r="J748" s="4" t="s">
        <v>691</v>
      </c>
      <c r="K748" s="4" t="s">
        <v>733</v>
      </c>
    </row>
    <row r="749" spans="2:11">
      <c r="B749" s="1">
        <v>31082</v>
      </c>
      <c r="C749" s="4" t="s">
        <v>792</v>
      </c>
      <c r="D749" s="19">
        <f t="shared" si="11"/>
        <v>0</v>
      </c>
      <c r="E749" s="19">
        <f>SUMIF('C1'!$B$6:$B$2228,B749,'C1'!$D$6:$D$2228)</f>
        <v>0</v>
      </c>
      <c r="F749" s="19">
        <f>SUMIF('C2'!$B$6:$B$2228,B749,'C2'!$D$6:$D$2228)</f>
        <v>0</v>
      </c>
      <c r="G749" s="19">
        <f>SUMIF('C3'!$B$6:$B$2228,B749,'C3'!$D$6:$D$2228)</f>
        <v>0</v>
      </c>
      <c r="H749" s="22"/>
      <c r="I749" s="22"/>
      <c r="J749" s="4" t="s">
        <v>691</v>
      </c>
      <c r="K749" s="4" t="s">
        <v>733</v>
      </c>
    </row>
    <row r="750" spans="2:11">
      <c r="B750" s="1">
        <v>31083</v>
      </c>
      <c r="C750" s="4" t="s">
        <v>793</v>
      </c>
      <c r="D750" s="19">
        <f t="shared" si="11"/>
        <v>0</v>
      </c>
      <c r="E750" s="19">
        <f>SUMIF('C1'!$B$6:$B$2228,B750,'C1'!$D$6:$D$2228)</f>
        <v>0</v>
      </c>
      <c r="F750" s="19">
        <f>SUMIF('C2'!$B$6:$B$2228,B750,'C2'!$D$6:$D$2228)</f>
        <v>0</v>
      </c>
      <c r="G750" s="19">
        <f>SUMIF('C3'!$B$6:$B$2228,B750,'C3'!$D$6:$D$2228)</f>
        <v>0</v>
      </c>
      <c r="H750" s="22"/>
      <c r="I750" s="22"/>
      <c r="J750" s="4" t="s">
        <v>691</v>
      </c>
      <c r="K750" s="4" t="s">
        <v>733</v>
      </c>
    </row>
    <row r="751" spans="2:11">
      <c r="B751" s="1">
        <v>31084</v>
      </c>
      <c r="C751" s="4" t="s">
        <v>794</v>
      </c>
      <c r="D751" s="19">
        <f t="shared" si="11"/>
        <v>0</v>
      </c>
      <c r="E751" s="19">
        <f>SUMIF('C1'!$B$6:$B$2228,B751,'C1'!$D$6:$D$2228)</f>
        <v>0</v>
      </c>
      <c r="F751" s="19">
        <f>SUMIF('C2'!$B$6:$B$2228,B751,'C2'!$D$6:$D$2228)</f>
        <v>0</v>
      </c>
      <c r="G751" s="19">
        <f>SUMIF('C3'!$B$6:$B$2228,B751,'C3'!$D$6:$D$2228)</f>
        <v>0</v>
      </c>
      <c r="H751" s="22"/>
      <c r="I751" s="22"/>
      <c r="J751" s="4" t="s">
        <v>691</v>
      </c>
      <c r="K751" s="4" t="s">
        <v>692</v>
      </c>
    </row>
    <row r="752" spans="2:11">
      <c r="B752" s="1">
        <v>31085</v>
      </c>
      <c r="C752" s="4" t="s">
        <v>795</v>
      </c>
      <c r="D752" s="19">
        <f t="shared" si="11"/>
        <v>0</v>
      </c>
      <c r="E752" s="19">
        <f>SUMIF('C1'!$B$6:$B$2228,B752,'C1'!$D$6:$D$2228)</f>
        <v>0</v>
      </c>
      <c r="F752" s="19">
        <f>SUMIF('C2'!$B$6:$B$2228,B752,'C2'!$D$6:$D$2228)</f>
        <v>0</v>
      </c>
      <c r="G752" s="19">
        <f>SUMIF('C3'!$B$6:$B$2228,B752,'C3'!$D$6:$D$2228)</f>
        <v>0</v>
      </c>
      <c r="H752" s="22"/>
      <c r="I752" s="22"/>
      <c r="J752" s="4" t="s">
        <v>691</v>
      </c>
      <c r="K752" s="4" t="s">
        <v>692</v>
      </c>
    </row>
    <row r="753" spans="2:11">
      <c r="B753" s="1">
        <v>31086</v>
      </c>
      <c r="C753" s="4" t="s">
        <v>796</v>
      </c>
      <c r="D753" s="19">
        <f t="shared" si="11"/>
        <v>0</v>
      </c>
      <c r="E753" s="19">
        <f>SUMIF('C1'!$B$6:$B$2228,B753,'C1'!$D$6:$D$2228)</f>
        <v>0</v>
      </c>
      <c r="F753" s="19">
        <f>SUMIF('C2'!$B$6:$B$2228,B753,'C2'!$D$6:$D$2228)</f>
        <v>0</v>
      </c>
      <c r="G753" s="19">
        <f>SUMIF('C3'!$B$6:$B$2228,B753,'C3'!$D$6:$D$2228)</f>
        <v>0</v>
      </c>
      <c r="H753" s="22"/>
      <c r="I753" s="22"/>
      <c r="J753" s="4" t="s">
        <v>691</v>
      </c>
      <c r="K753" s="4" t="s">
        <v>692</v>
      </c>
    </row>
    <row r="754" spans="2:11">
      <c r="B754" s="1">
        <v>31087</v>
      </c>
      <c r="C754" s="4" t="s">
        <v>797</v>
      </c>
      <c r="D754" s="19">
        <f t="shared" si="11"/>
        <v>0</v>
      </c>
      <c r="E754" s="19">
        <f>SUMIF('C1'!$B$6:$B$2228,B754,'C1'!$D$6:$D$2228)</f>
        <v>0</v>
      </c>
      <c r="F754" s="19">
        <f>SUMIF('C2'!$B$6:$B$2228,B754,'C2'!$D$6:$D$2228)</f>
        <v>0</v>
      </c>
      <c r="G754" s="19">
        <f>SUMIF('C3'!$B$6:$B$2228,B754,'C3'!$D$6:$D$2228)</f>
        <v>0</v>
      </c>
      <c r="H754" s="22"/>
      <c r="I754" s="22"/>
      <c r="J754" s="4" t="s">
        <v>691</v>
      </c>
      <c r="K754" s="4" t="s">
        <v>692</v>
      </c>
    </row>
    <row r="755" spans="2:11">
      <c r="B755" s="1">
        <v>31088</v>
      </c>
      <c r="C755" s="4" t="s">
        <v>798</v>
      </c>
      <c r="D755" s="19">
        <f t="shared" si="11"/>
        <v>0</v>
      </c>
      <c r="E755" s="19">
        <f>SUMIF('C1'!$B$6:$B$2228,B755,'C1'!$D$6:$D$2228)</f>
        <v>0</v>
      </c>
      <c r="F755" s="19">
        <f>SUMIF('C2'!$B$6:$B$2228,B755,'C2'!$D$6:$D$2228)</f>
        <v>0</v>
      </c>
      <c r="G755" s="19">
        <f>SUMIF('C3'!$B$6:$B$2228,B755,'C3'!$D$6:$D$2228)</f>
        <v>0</v>
      </c>
      <c r="H755" s="22"/>
      <c r="I755" s="22"/>
      <c r="J755" s="4" t="s">
        <v>691</v>
      </c>
      <c r="K755" s="4" t="s">
        <v>738</v>
      </c>
    </row>
    <row r="756" spans="2:11">
      <c r="B756" s="1">
        <v>31089</v>
      </c>
      <c r="C756" s="4" t="s">
        <v>799</v>
      </c>
      <c r="D756" s="19">
        <f t="shared" si="11"/>
        <v>0</v>
      </c>
      <c r="E756" s="19">
        <f>SUMIF('C1'!$B$6:$B$2228,B756,'C1'!$D$6:$D$2228)</f>
        <v>0</v>
      </c>
      <c r="F756" s="19">
        <f>SUMIF('C2'!$B$6:$B$2228,B756,'C2'!$D$6:$D$2228)</f>
        <v>0</v>
      </c>
      <c r="G756" s="19">
        <f>SUMIF('C3'!$B$6:$B$2228,B756,'C3'!$D$6:$D$2228)</f>
        <v>0</v>
      </c>
      <c r="H756" s="22"/>
      <c r="I756" s="22"/>
      <c r="J756" s="4" t="s">
        <v>691</v>
      </c>
      <c r="K756" s="4" t="s">
        <v>738</v>
      </c>
    </row>
    <row r="757" spans="2:11">
      <c r="B757" s="1">
        <v>31090</v>
      </c>
      <c r="C757" s="4" t="s">
        <v>800</v>
      </c>
      <c r="D757" s="19">
        <f t="shared" si="11"/>
        <v>0</v>
      </c>
      <c r="E757" s="19">
        <f>SUMIF('C1'!$B$6:$B$2228,B757,'C1'!$D$6:$D$2228)</f>
        <v>0</v>
      </c>
      <c r="F757" s="19">
        <f>SUMIF('C2'!$B$6:$B$2228,B757,'C2'!$D$6:$D$2228)</f>
        <v>0</v>
      </c>
      <c r="G757" s="19">
        <f>SUMIF('C3'!$B$6:$B$2228,B757,'C3'!$D$6:$D$2228)</f>
        <v>0</v>
      </c>
      <c r="H757" s="22"/>
      <c r="I757" s="22"/>
      <c r="J757" s="4" t="s">
        <v>691</v>
      </c>
      <c r="K757" s="4" t="s">
        <v>692</v>
      </c>
    </row>
    <row r="758" spans="2:11">
      <c r="B758" s="1">
        <v>31091</v>
      </c>
      <c r="C758" s="4" t="s">
        <v>801</v>
      </c>
      <c r="D758" s="19">
        <f t="shared" si="11"/>
        <v>0</v>
      </c>
      <c r="E758" s="19">
        <f>SUMIF('C1'!$B$6:$B$2228,B758,'C1'!$D$6:$D$2228)</f>
        <v>0</v>
      </c>
      <c r="F758" s="19">
        <f>SUMIF('C2'!$B$6:$B$2228,B758,'C2'!$D$6:$D$2228)</f>
        <v>0</v>
      </c>
      <c r="G758" s="19">
        <f>SUMIF('C3'!$B$6:$B$2228,B758,'C3'!$D$6:$D$2228)</f>
        <v>0</v>
      </c>
      <c r="H758" s="22"/>
      <c r="I758" s="22"/>
      <c r="J758" s="4" t="s">
        <v>691</v>
      </c>
      <c r="K758" s="4" t="s">
        <v>712</v>
      </c>
    </row>
    <row r="759" spans="2:11">
      <c r="B759" s="1">
        <v>31092</v>
      </c>
      <c r="C759" s="4" t="s">
        <v>802</v>
      </c>
      <c r="D759" s="19">
        <f t="shared" si="11"/>
        <v>0</v>
      </c>
      <c r="E759" s="19">
        <f>SUMIF('C1'!$B$6:$B$2228,B759,'C1'!$D$6:$D$2228)</f>
        <v>0</v>
      </c>
      <c r="F759" s="19">
        <f>SUMIF('C2'!$B$6:$B$2228,B759,'C2'!$D$6:$D$2228)</f>
        <v>0</v>
      </c>
      <c r="G759" s="19">
        <f>SUMIF('C3'!$B$6:$B$2228,B759,'C3'!$D$6:$D$2228)</f>
        <v>0</v>
      </c>
      <c r="H759" s="22"/>
      <c r="I759" s="22"/>
      <c r="J759" s="4" t="s">
        <v>691</v>
      </c>
      <c r="K759" s="4" t="s">
        <v>706</v>
      </c>
    </row>
    <row r="760" spans="2:11">
      <c r="B760" s="1">
        <v>31093</v>
      </c>
      <c r="C760" s="4" t="s">
        <v>803</v>
      </c>
      <c r="D760" s="19">
        <f t="shared" si="11"/>
        <v>0</v>
      </c>
      <c r="E760" s="19">
        <f>SUMIF('C1'!$B$6:$B$2228,B760,'C1'!$D$6:$D$2228)</f>
        <v>0</v>
      </c>
      <c r="F760" s="19">
        <f>SUMIF('C2'!$B$6:$B$2228,B760,'C2'!$D$6:$D$2228)</f>
        <v>0</v>
      </c>
      <c r="G760" s="19">
        <f>SUMIF('C3'!$B$6:$B$2228,B760,'C3'!$D$6:$D$2228)</f>
        <v>0</v>
      </c>
      <c r="H760" s="22"/>
      <c r="I760" s="22"/>
      <c r="J760" s="4" t="s">
        <v>691</v>
      </c>
      <c r="K760" s="4" t="s">
        <v>738</v>
      </c>
    </row>
    <row r="761" spans="2:11">
      <c r="B761" s="1">
        <v>31094</v>
      </c>
      <c r="C761" s="4" t="s">
        <v>804</v>
      </c>
      <c r="D761" s="19">
        <f t="shared" si="11"/>
        <v>0</v>
      </c>
      <c r="E761" s="19">
        <f>SUMIF('C1'!$B$6:$B$2228,B761,'C1'!$D$6:$D$2228)</f>
        <v>0</v>
      </c>
      <c r="F761" s="19">
        <f>SUMIF('C2'!$B$6:$B$2228,B761,'C2'!$D$6:$D$2228)</f>
        <v>0</v>
      </c>
      <c r="G761" s="19">
        <f>SUMIF('C3'!$B$6:$B$2228,B761,'C3'!$D$6:$D$2228)</f>
        <v>0</v>
      </c>
      <c r="H761" s="22"/>
      <c r="I761" s="22"/>
      <c r="J761" s="4" t="s">
        <v>691</v>
      </c>
      <c r="K761" s="4" t="s">
        <v>692</v>
      </c>
    </row>
    <row r="762" spans="2:11">
      <c r="B762" s="1">
        <v>31095</v>
      </c>
      <c r="C762" s="4" t="s">
        <v>805</v>
      </c>
      <c r="D762" s="19">
        <f t="shared" si="11"/>
        <v>0</v>
      </c>
      <c r="E762" s="19">
        <f>SUMIF('C1'!$B$6:$B$2228,B762,'C1'!$D$6:$D$2228)</f>
        <v>0</v>
      </c>
      <c r="F762" s="19">
        <f>SUMIF('C2'!$B$6:$B$2228,B762,'C2'!$D$6:$D$2228)</f>
        <v>0</v>
      </c>
      <c r="G762" s="19">
        <f>SUMIF('C3'!$B$6:$B$2228,B762,'C3'!$D$6:$D$2228)</f>
        <v>0</v>
      </c>
      <c r="H762" s="22"/>
      <c r="I762" s="22"/>
      <c r="J762" s="4" t="s">
        <v>691</v>
      </c>
      <c r="K762" s="4" t="s">
        <v>692</v>
      </c>
    </row>
    <row r="763" spans="2:11">
      <c r="B763" s="1">
        <v>31096</v>
      </c>
      <c r="C763" s="4" t="s">
        <v>806</v>
      </c>
      <c r="D763" s="19">
        <f t="shared" si="11"/>
        <v>0</v>
      </c>
      <c r="E763" s="19">
        <f>SUMIF('C1'!$B$6:$B$2228,B763,'C1'!$D$6:$D$2228)</f>
        <v>0</v>
      </c>
      <c r="F763" s="19">
        <f>SUMIF('C2'!$B$6:$B$2228,B763,'C2'!$D$6:$D$2228)</f>
        <v>0</v>
      </c>
      <c r="G763" s="19">
        <f>SUMIF('C3'!$B$6:$B$2228,B763,'C3'!$D$6:$D$2228)</f>
        <v>0</v>
      </c>
      <c r="H763" s="22"/>
      <c r="I763" s="22"/>
      <c r="J763" s="4" t="s">
        <v>691</v>
      </c>
      <c r="K763" s="4" t="s">
        <v>692</v>
      </c>
    </row>
    <row r="764" spans="2:11">
      <c r="B764" s="1">
        <v>31097</v>
      </c>
      <c r="C764" s="4" t="s">
        <v>807</v>
      </c>
      <c r="D764" s="19">
        <f t="shared" si="11"/>
        <v>0</v>
      </c>
      <c r="E764" s="19">
        <f>SUMIF('C1'!$B$6:$B$2228,B764,'C1'!$D$6:$D$2228)</f>
        <v>0</v>
      </c>
      <c r="F764" s="19">
        <f>SUMIF('C2'!$B$6:$B$2228,B764,'C2'!$D$6:$D$2228)</f>
        <v>0</v>
      </c>
      <c r="G764" s="19">
        <f>SUMIF('C3'!$B$6:$B$2228,B764,'C3'!$D$6:$D$2228)</f>
        <v>0</v>
      </c>
      <c r="H764" s="22"/>
      <c r="I764" s="22"/>
      <c r="J764" s="4" t="s">
        <v>691</v>
      </c>
      <c r="K764" s="4" t="s">
        <v>706</v>
      </c>
    </row>
    <row r="765" spans="2:11">
      <c r="B765" s="1">
        <v>31098</v>
      </c>
      <c r="C765" s="4" t="s">
        <v>808</v>
      </c>
      <c r="D765" s="19">
        <f t="shared" si="11"/>
        <v>0</v>
      </c>
      <c r="E765" s="19">
        <f>SUMIF('C1'!$B$6:$B$2228,B765,'C1'!$D$6:$D$2228)</f>
        <v>0</v>
      </c>
      <c r="F765" s="19">
        <f>SUMIF('C2'!$B$6:$B$2228,B765,'C2'!$D$6:$D$2228)</f>
        <v>0</v>
      </c>
      <c r="G765" s="19">
        <f>SUMIF('C3'!$B$6:$B$2228,B765,'C3'!$D$6:$D$2228)</f>
        <v>0</v>
      </c>
      <c r="H765" s="22"/>
      <c r="I765" s="22"/>
      <c r="J765" s="4" t="s">
        <v>691</v>
      </c>
      <c r="K765" s="4" t="s">
        <v>712</v>
      </c>
    </row>
    <row r="766" spans="2:11">
      <c r="B766" s="1">
        <v>31099</v>
      </c>
      <c r="C766" s="4" t="s">
        <v>809</v>
      </c>
      <c r="D766" s="19">
        <f t="shared" si="11"/>
        <v>0</v>
      </c>
      <c r="E766" s="19">
        <f>SUMIF('C1'!$B$6:$B$2228,B766,'C1'!$D$6:$D$2228)</f>
        <v>0</v>
      </c>
      <c r="F766" s="19">
        <f>SUMIF('C2'!$B$6:$B$2228,B766,'C2'!$D$6:$D$2228)</f>
        <v>0</v>
      </c>
      <c r="G766" s="19">
        <f>SUMIF('C3'!$B$6:$B$2228,B766,'C3'!$D$6:$D$2228)</f>
        <v>0</v>
      </c>
      <c r="H766" s="22"/>
      <c r="I766" s="22"/>
      <c r="J766" s="4" t="s">
        <v>691</v>
      </c>
      <c r="K766" s="4" t="s">
        <v>712</v>
      </c>
    </row>
    <row r="767" spans="2:11">
      <c r="B767" s="1">
        <v>31100</v>
      </c>
      <c r="C767" s="4" t="s">
        <v>810</v>
      </c>
      <c r="D767" s="19">
        <f t="shared" si="11"/>
        <v>0</v>
      </c>
      <c r="E767" s="19">
        <f>SUMIF('C1'!$B$6:$B$2228,B767,'C1'!$D$6:$D$2228)</f>
        <v>0</v>
      </c>
      <c r="F767" s="19">
        <f>SUMIF('C2'!$B$6:$B$2228,B767,'C2'!$D$6:$D$2228)</f>
        <v>0</v>
      </c>
      <c r="G767" s="19">
        <f>SUMIF('C3'!$B$6:$B$2228,B767,'C3'!$D$6:$D$2228)</f>
        <v>0</v>
      </c>
      <c r="H767" s="22"/>
      <c r="I767" s="22"/>
      <c r="J767" s="4" t="s">
        <v>691</v>
      </c>
      <c r="K767" s="4" t="s">
        <v>712</v>
      </c>
    </row>
    <row r="768" spans="2:11">
      <c r="B768" s="1">
        <v>31101</v>
      </c>
      <c r="C768" s="4" t="s">
        <v>811</v>
      </c>
      <c r="D768" s="19">
        <f t="shared" si="11"/>
        <v>0</v>
      </c>
      <c r="E768" s="19">
        <f>SUMIF('C1'!$B$6:$B$2228,B768,'C1'!$D$6:$D$2228)</f>
        <v>0</v>
      </c>
      <c r="F768" s="19">
        <f>SUMIF('C2'!$B$6:$B$2228,B768,'C2'!$D$6:$D$2228)</f>
        <v>0</v>
      </c>
      <c r="G768" s="19">
        <f>SUMIF('C3'!$B$6:$B$2228,B768,'C3'!$D$6:$D$2228)</f>
        <v>0</v>
      </c>
      <c r="H768" s="22"/>
      <c r="I768" s="22"/>
      <c r="J768" s="4" t="s">
        <v>691</v>
      </c>
      <c r="K768" s="4" t="s">
        <v>712</v>
      </c>
    </row>
    <row r="769" spans="2:11">
      <c r="B769" s="1">
        <v>31102</v>
      </c>
      <c r="C769" s="4" t="s">
        <v>812</v>
      </c>
      <c r="D769" s="19">
        <f t="shared" si="11"/>
        <v>0</v>
      </c>
      <c r="E769" s="19">
        <f>SUMIF('C1'!$B$6:$B$2228,B769,'C1'!$D$6:$D$2228)</f>
        <v>0</v>
      </c>
      <c r="F769" s="19">
        <f>SUMIF('C2'!$B$6:$B$2228,B769,'C2'!$D$6:$D$2228)</f>
        <v>0</v>
      </c>
      <c r="G769" s="19">
        <f>SUMIF('C3'!$B$6:$B$2228,B769,'C3'!$D$6:$D$2228)</f>
        <v>0</v>
      </c>
      <c r="H769" s="22"/>
      <c r="I769" s="22"/>
      <c r="J769" s="4" t="s">
        <v>691</v>
      </c>
      <c r="K769" s="4" t="s">
        <v>712</v>
      </c>
    </row>
    <row r="770" spans="2:11">
      <c r="B770" s="1">
        <v>31103</v>
      </c>
      <c r="C770" s="4" t="s">
        <v>813</v>
      </c>
      <c r="D770" s="19">
        <f t="shared" si="11"/>
        <v>0</v>
      </c>
      <c r="E770" s="19">
        <f>SUMIF('C1'!$B$6:$B$2228,B770,'C1'!$D$6:$D$2228)</f>
        <v>0</v>
      </c>
      <c r="F770" s="19">
        <f>SUMIF('C2'!$B$6:$B$2228,B770,'C2'!$D$6:$D$2228)</f>
        <v>0</v>
      </c>
      <c r="G770" s="19">
        <f>SUMIF('C3'!$B$6:$B$2228,B770,'C3'!$D$6:$D$2228)</f>
        <v>0</v>
      </c>
      <c r="H770" s="22"/>
      <c r="I770" s="22"/>
      <c r="J770" s="4" t="s">
        <v>691</v>
      </c>
      <c r="K770" s="4" t="s">
        <v>712</v>
      </c>
    </row>
    <row r="771" spans="2:11">
      <c r="B771" s="1">
        <v>31104</v>
      </c>
      <c r="C771" s="4" t="s">
        <v>814</v>
      </c>
      <c r="D771" s="19">
        <f t="shared" si="11"/>
        <v>0</v>
      </c>
      <c r="E771" s="19">
        <f>SUMIF('C1'!$B$6:$B$2228,B771,'C1'!$D$6:$D$2228)</f>
        <v>0</v>
      </c>
      <c r="F771" s="19">
        <f>SUMIF('C2'!$B$6:$B$2228,B771,'C2'!$D$6:$D$2228)</f>
        <v>0</v>
      </c>
      <c r="G771" s="19">
        <f>SUMIF('C3'!$B$6:$B$2228,B771,'C3'!$D$6:$D$2228)</f>
        <v>0</v>
      </c>
      <c r="H771" s="22"/>
      <c r="I771" s="22"/>
      <c r="J771" s="4" t="s">
        <v>691</v>
      </c>
      <c r="K771" s="4" t="s">
        <v>712</v>
      </c>
    </row>
    <row r="772" spans="2:11">
      <c r="B772" s="1">
        <v>31105</v>
      </c>
      <c r="C772" s="4" t="s">
        <v>815</v>
      </c>
      <c r="D772" s="19">
        <f t="shared" si="11"/>
        <v>0</v>
      </c>
      <c r="E772" s="19">
        <f>SUMIF('C1'!$B$6:$B$2228,B772,'C1'!$D$6:$D$2228)</f>
        <v>0</v>
      </c>
      <c r="F772" s="19">
        <f>SUMIF('C2'!$B$6:$B$2228,B772,'C2'!$D$6:$D$2228)</f>
        <v>0</v>
      </c>
      <c r="G772" s="19">
        <f>SUMIF('C3'!$B$6:$B$2228,B772,'C3'!$D$6:$D$2228)</f>
        <v>0</v>
      </c>
      <c r="H772" s="22"/>
      <c r="I772" s="22"/>
      <c r="J772" s="4" t="s">
        <v>691</v>
      </c>
      <c r="K772" s="4" t="s">
        <v>712</v>
      </c>
    </row>
    <row r="773" spans="2:11">
      <c r="B773" s="1">
        <v>31106</v>
      </c>
      <c r="C773" s="4" t="s">
        <v>816</v>
      </c>
      <c r="D773" s="19">
        <f t="shared" si="11"/>
        <v>0</v>
      </c>
      <c r="E773" s="19">
        <f>SUMIF('C1'!$B$6:$B$2228,B773,'C1'!$D$6:$D$2228)</f>
        <v>0</v>
      </c>
      <c r="F773" s="19">
        <f>SUMIF('C2'!$B$6:$B$2228,B773,'C2'!$D$6:$D$2228)</f>
        <v>0</v>
      </c>
      <c r="G773" s="19">
        <f>SUMIF('C3'!$B$6:$B$2228,B773,'C3'!$D$6:$D$2228)</f>
        <v>0</v>
      </c>
      <c r="H773" s="22"/>
      <c r="I773" s="22"/>
      <c r="J773" s="4" t="s">
        <v>691</v>
      </c>
      <c r="K773" s="4" t="s">
        <v>712</v>
      </c>
    </row>
    <row r="774" spans="2:11">
      <c r="B774" s="1">
        <v>31107</v>
      </c>
      <c r="C774" s="4" t="s">
        <v>817</v>
      </c>
      <c r="D774" s="19">
        <f t="shared" si="11"/>
        <v>0</v>
      </c>
      <c r="E774" s="19">
        <f>SUMIF('C1'!$B$6:$B$2228,B774,'C1'!$D$6:$D$2228)</f>
        <v>0</v>
      </c>
      <c r="F774" s="19">
        <f>SUMIF('C2'!$B$6:$B$2228,B774,'C2'!$D$6:$D$2228)</f>
        <v>0</v>
      </c>
      <c r="G774" s="19">
        <f>SUMIF('C3'!$B$6:$B$2228,B774,'C3'!$D$6:$D$2228)</f>
        <v>0</v>
      </c>
      <c r="H774" s="22"/>
      <c r="I774" s="22"/>
      <c r="J774" s="4" t="s">
        <v>691</v>
      </c>
      <c r="K774" s="4" t="s">
        <v>712</v>
      </c>
    </row>
    <row r="775" spans="2:11">
      <c r="B775" s="1">
        <v>31108</v>
      </c>
      <c r="C775" s="4" t="s">
        <v>818</v>
      </c>
      <c r="D775" s="19">
        <f t="shared" ref="D775:D838" si="12">SUM(E775:I775)</f>
        <v>0</v>
      </c>
      <c r="E775" s="19">
        <f>SUMIF('C1'!$B$6:$B$2228,B775,'C1'!$D$6:$D$2228)</f>
        <v>0</v>
      </c>
      <c r="F775" s="19">
        <f>SUMIF('C2'!$B$6:$B$2228,B775,'C2'!$D$6:$D$2228)</f>
        <v>0</v>
      </c>
      <c r="G775" s="19">
        <f>SUMIF('C3'!$B$6:$B$2228,B775,'C3'!$D$6:$D$2228)</f>
        <v>0</v>
      </c>
      <c r="H775" s="22"/>
      <c r="I775" s="22"/>
      <c r="J775" s="4" t="s">
        <v>691</v>
      </c>
      <c r="K775" s="4" t="s">
        <v>712</v>
      </c>
    </row>
    <row r="776" spans="2:11">
      <c r="B776" s="1">
        <v>31109</v>
      </c>
      <c r="C776" s="4" t="s">
        <v>819</v>
      </c>
      <c r="D776" s="19">
        <f t="shared" si="12"/>
        <v>0</v>
      </c>
      <c r="E776" s="19">
        <f>SUMIF('C1'!$B$6:$B$2228,B776,'C1'!$D$6:$D$2228)</f>
        <v>0</v>
      </c>
      <c r="F776" s="19">
        <f>SUMIF('C2'!$B$6:$B$2228,B776,'C2'!$D$6:$D$2228)</f>
        <v>0</v>
      </c>
      <c r="G776" s="19">
        <f>SUMIF('C3'!$B$6:$B$2228,B776,'C3'!$D$6:$D$2228)</f>
        <v>0</v>
      </c>
      <c r="H776" s="22"/>
      <c r="I776" s="22"/>
      <c r="J776" s="4" t="s">
        <v>691</v>
      </c>
      <c r="K776" s="4" t="s">
        <v>712</v>
      </c>
    </row>
    <row r="777" spans="2:11">
      <c r="B777" s="1">
        <v>31110</v>
      </c>
      <c r="C777" s="4" t="s">
        <v>820</v>
      </c>
      <c r="D777" s="19">
        <f t="shared" si="12"/>
        <v>0</v>
      </c>
      <c r="E777" s="19">
        <f>SUMIF('C1'!$B$6:$B$2228,B777,'C1'!$D$6:$D$2228)</f>
        <v>0</v>
      </c>
      <c r="F777" s="19">
        <f>SUMIF('C2'!$B$6:$B$2228,B777,'C2'!$D$6:$D$2228)</f>
        <v>0</v>
      </c>
      <c r="G777" s="19">
        <f>SUMIF('C3'!$B$6:$B$2228,B777,'C3'!$D$6:$D$2228)</f>
        <v>0</v>
      </c>
      <c r="H777" s="22"/>
      <c r="I777" s="22"/>
      <c r="J777" s="4" t="s">
        <v>691</v>
      </c>
      <c r="K777" s="4" t="s">
        <v>712</v>
      </c>
    </row>
    <row r="778" spans="2:11">
      <c r="B778" s="1">
        <v>31111</v>
      </c>
      <c r="C778" s="4" t="s">
        <v>821</v>
      </c>
      <c r="D778" s="19">
        <f t="shared" si="12"/>
        <v>0</v>
      </c>
      <c r="E778" s="19">
        <f>SUMIF('C1'!$B$6:$B$2228,B778,'C1'!$D$6:$D$2228)</f>
        <v>0</v>
      </c>
      <c r="F778" s="19">
        <f>SUMIF('C2'!$B$6:$B$2228,B778,'C2'!$D$6:$D$2228)</f>
        <v>0</v>
      </c>
      <c r="G778" s="19">
        <f>SUMIF('C3'!$B$6:$B$2228,B778,'C3'!$D$6:$D$2228)</f>
        <v>0</v>
      </c>
      <c r="H778" s="22"/>
      <c r="I778" s="22"/>
      <c r="J778" s="4" t="s">
        <v>691</v>
      </c>
      <c r="K778" s="4" t="s">
        <v>712</v>
      </c>
    </row>
    <row r="779" spans="2:11">
      <c r="B779" s="1">
        <v>31112</v>
      </c>
      <c r="C779" s="4" t="s">
        <v>822</v>
      </c>
      <c r="D779" s="19">
        <f t="shared" si="12"/>
        <v>0</v>
      </c>
      <c r="E779" s="19">
        <f>SUMIF('C1'!$B$6:$B$2228,B779,'C1'!$D$6:$D$2228)</f>
        <v>0</v>
      </c>
      <c r="F779" s="19">
        <f>SUMIF('C2'!$B$6:$B$2228,B779,'C2'!$D$6:$D$2228)</f>
        <v>0</v>
      </c>
      <c r="G779" s="19">
        <f>SUMIF('C3'!$B$6:$B$2228,B779,'C3'!$D$6:$D$2228)</f>
        <v>0</v>
      </c>
      <c r="H779" s="22"/>
      <c r="I779" s="22"/>
      <c r="J779" s="4" t="s">
        <v>691</v>
      </c>
      <c r="K779" s="4" t="s">
        <v>712</v>
      </c>
    </row>
    <row r="780" spans="2:11">
      <c r="B780" s="1">
        <v>31113</v>
      </c>
      <c r="C780" s="4" t="s">
        <v>823</v>
      </c>
      <c r="D780" s="19">
        <f t="shared" si="12"/>
        <v>0</v>
      </c>
      <c r="E780" s="19">
        <f>SUMIF('C1'!$B$6:$B$2228,B780,'C1'!$D$6:$D$2228)</f>
        <v>0</v>
      </c>
      <c r="F780" s="19">
        <f>SUMIF('C2'!$B$6:$B$2228,B780,'C2'!$D$6:$D$2228)</f>
        <v>0</v>
      </c>
      <c r="G780" s="19">
        <f>SUMIF('C3'!$B$6:$B$2228,B780,'C3'!$D$6:$D$2228)</f>
        <v>0</v>
      </c>
      <c r="H780" s="22"/>
      <c r="I780" s="22"/>
      <c r="J780" s="4" t="s">
        <v>691</v>
      </c>
      <c r="K780" s="4" t="s">
        <v>712</v>
      </c>
    </row>
    <row r="781" spans="2:11">
      <c r="B781" s="1">
        <v>31114</v>
      </c>
      <c r="C781" s="4" t="s">
        <v>824</v>
      </c>
      <c r="D781" s="19">
        <f t="shared" si="12"/>
        <v>0</v>
      </c>
      <c r="E781" s="19">
        <f>SUMIF('C1'!$B$6:$B$2228,B781,'C1'!$D$6:$D$2228)</f>
        <v>0</v>
      </c>
      <c r="F781" s="19">
        <f>SUMIF('C2'!$B$6:$B$2228,B781,'C2'!$D$6:$D$2228)</f>
        <v>0</v>
      </c>
      <c r="G781" s="19">
        <f>SUMIF('C3'!$B$6:$B$2228,B781,'C3'!$D$6:$D$2228)</f>
        <v>0</v>
      </c>
      <c r="H781" s="22"/>
      <c r="I781" s="22"/>
      <c r="J781" s="4" t="s">
        <v>691</v>
      </c>
      <c r="K781" s="4" t="s">
        <v>712</v>
      </c>
    </row>
    <row r="782" spans="2:11">
      <c r="B782" s="1">
        <v>31115</v>
      </c>
      <c r="C782" s="4" t="s">
        <v>825</v>
      </c>
      <c r="D782" s="19">
        <f t="shared" si="12"/>
        <v>0</v>
      </c>
      <c r="E782" s="19">
        <f>SUMIF('C1'!$B$6:$B$2228,B782,'C1'!$D$6:$D$2228)</f>
        <v>0</v>
      </c>
      <c r="F782" s="19">
        <f>SUMIF('C2'!$B$6:$B$2228,B782,'C2'!$D$6:$D$2228)</f>
        <v>0</v>
      </c>
      <c r="G782" s="19">
        <f>SUMIF('C3'!$B$6:$B$2228,B782,'C3'!$D$6:$D$2228)</f>
        <v>0</v>
      </c>
      <c r="H782" s="22"/>
      <c r="I782" s="22"/>
      <c r="J782" s="4" t="s">
        <v>691</v>
      </c>
      <c r="K782" s="4" t="s">
        <v>712</v>
      </c>
    </row>
    <row r="783" spans="2:11">
      <c r="B783" s="1">
        <v>31116</v>
      </c>
      <c r="C783" s="4" t="s">
        <v>826</v>
      </c>
      <c r="D783" s="19">
        <f t="shared" si="12"/>
        <v>0</v>
      </c>
      <c r="E783" s="19">
        <f>SUMIF('C1'!$B$6:$B$2228,B783,'C1'!$D$6:$D$2228)</f>
        <v>0</v>
      </c>
      <c r="F783" s="19">
        <f>SUMIF('C2'!$B$6:$B$2228,B783,'C2'!$D$6:$D$2228)</f>
        <v>0</v>
      </c>
      <c r="G783" s="19">
        <f>SUMIF('C3'!$B$6:$B$2228,B783,'C3'!$D$6:$D$2228)</f>
        <v>0</v>
      </c>
      <c r="H783" s="22"/>
      <c r="I783" s="22"/>
      <c r="J783" s="4" t="s">
        <v>691</v>
      </c>
      <c r="K783" s="4" t="s">
        <v>712</v>
      </c>
    </row>
    <row r="784" spans="2:11">
      <c r="B784" s="1">
        <v>31117</v>
      </c>
      <c r="C784" s="4" t="s">
        <v>827</v>
      </c>
      <c r="D784" s="19">
        <f t="shared" si="12"/>
        <v>0</v>
      </c>
      <c r="E784" s="19">
        <f>SUMIF('C1'!$B$6:$B$2228,B784,'C1'!$D$6:$D$2228)</f>
        <v>0</v>
      </c>
      <c r="F784" s="19">
        <f>SUMIF('C2'!$B$6:$B$2228,B784,'C2'!$D$6:$D$2228)</f>
        <v>0</v>
      </c>
      <c r="G784" s="19">
        <f>SUMIF('C3'!$B$6:$B$2228,B784,'C3'!$D$6:$D$2228)</f>
        <v>0</v>
      </c>
      <c r="H784" s="22"/>
      <c r="I784" s="22"/>
      <c r="J784" s="4" t="s">
        <v>691</v>
      </c>
      <c r="K784" s="4" t="s">
        <v>712</v>
      </c>
    </row>
    <row r="785" spans="2:11">
      <c r="B785" s="1">
        <v>31118</v>
      </c>
      <c r="C785" s="4" t="s">
        <v>828</v>
      </c>
      <c r="D785" s="19">
        <f t="shared" si="12"/>
        <v>0</v>
      </c>
      <c r="E785" s="19">
        <f>SUMIF('C1'!$B$6:$B$2228,B785,'C1'!$D$6:$D$2228)</f>
        <v>0</v>
      </c>
      <c r="F785" s="19">
        <f>SUMIF('C2'!$B$6:$B$2228,B785,'C2'!$D$6:$D$2228)</f>
        <v>0</v>
      </c>
      <c r="G785" s="19">
        <f>SUMIF('C3'!$B$6:$B$2228,B785,'C3'!$D$6:$D$2228)</f>
        <v>0</v>
      </c>
      <c r="H785" s="22"/>
      <c r="I785" s="22"/>
      <c r="J785" s="4" t="s">
        <v>691</v>
      </c>
      <c r="K785" s="4" t="s">
        <v>712</v>
      </c>
    </row>
    <row r="786" spans="2:11">
      <c r="B786" s="1">
        <v>31119</v>
      </c>
      <c r="C786" s="4" t="s">
        <v>829</v>
      </c>
      <c r="D786" s="19">
        <f t="shared" si="12"/>
        <v>0</v>
      </c>
      <c r="E786" s="19">
        <f>SUMIF('C1'!$B$6:$B$2228,B786,'C1'!$D$6:$D$2228)</f>
        <v>0</v>
      </c>
      <c r="F786" s="19">
        <f>SUMIF('C2'!$B$6:$B$2228,B786,'C2'!$D$6:$D$2228)</f>
        <v>0</v>
      </c>
      <c r="G786" s="19">
        <f>SUMIF('C3'!$B$6:$B$2228,B786,'C3'!$D$6:$D$2228)</f>
        <v>0</v>
      </c>
      <c r="H786" s="22"/>
      <c r="I786" s="22"/>
      <c r="J786" s="4" t="s">
        <v>691</v>
      </c>
      <c r="K786" s="4" t="s">
        <v>712</v>
      </c>
    </row>
    <row r="787" spans="2:11">
      <c r="B787" s="1">
        <v>31120</v>
      </c>
      <c r="C787" s="4" t="s">
        <v>830</v>
      </c>
      <c r="D787" s="19">
        <f t="shared" si="12"/>
        <v>0</v>
      </c>
      <c r="E787" s="19">
        <f>SUMIF('C1'!$B$6:$B$2228,B787,'C1'!$D$6:$D$2228)</f>
        <v>0</v>
      </c>
      <c r="F787" s="19">
        <f>SUMIF('C2'!$B$6:$B$2228,B787,'C2'!$D$6:$D$2228)</f>
        <v>0</v>
      </c>
      <c r="G787" s="19">
        <f>SUMIF('C3'!$B$6:$B$2228,B787,'C3'!$D$6:$D$2228)</f>
        <v>0</v>
      </c>
      <c r="H787" s="22"/>
      <c r="I787" s="22"/>
      <c r="J787" s="4" t="s">
        <v>691</v>
      </c>
      <c r="K787" s="4" t="s">
        <v>712</v>
      </c>
    </row>
    <row r="788" spans="2:11">
      <c r="B788" s="1">
        <v>31121</v>
      </c>
      <c r="C788" s="4" t="s">
        <v>831</v>
      </c>
      <c r="D788" s="19">
        <f t="shared" si="12"/>
        <v>0</v>
      </c>
      <c r="E788" s="19">
        <f>SUMIF('C1'!$B$6:$B$2228,B788,'C1'!$D$6:$D$2228)</f>
        <v>0</v>
      </c>
      <c r="F788" s="19">
        <f>SUMIF('C2'!$B$6:$B$2228,B788,'C2'!$D$6:$D$2228)</f>
        <v>0</v>
      </c>
      <c r="G788" s="19">
        <f>SUMIF('C3'!$B$6:$B$2228,B788,'C3'!$D$6:$D$2228)</f>
        <v>0</v>
      </c>
      <c r="H788" s="22"/>
      <c r="I788" s="22"/>
      <c r="J788" s="4" t="s">
        <v>691</v>
      </c>
      <c r="K788" s="4" t="s">
        <v>712</v>
      </c>
    </row>
    <row r="789" spans="2:11">
      <c r="B789" s="1">
        <v>31122</v>
      </c>
      <c r="C789" s="4" t="s">
        <v>832</v>
      </c>
      <c r="D789" s="19">
        <f t="shared" si="12"/>
        <v>0</v>
      </c>
      <c r="E789" s="19">
        <f>SUMIF('C1'!$B$6:$B$2228,B789,'C1'!$D$6:$D$2228)</f>
        <v>0</v>
      </c>
      <c r="F789" s="19">
        <f>SUMIF('C2'!$B$6:$B$2228,B789,'C2'!$D$6:$D$2228)</f>
        <v>0</v>
      </c>
      <c r="G789" s="19">
        <f>SUMIF('C3'!$B$6:$B$2228,B789,'C3'!$D$6:$D$2228)</f>
        <v>0</v>
      </c>
      <c r="H789" s="22"/>
      <c r="I789" s="22"/>
      <c r="J789" s="4" t="s">
        <v>691</v>
      </c>
      <c r="K789" s="4" t="s">
        <v>712</v>
      </c>
    </row>
    <row r="790" spans="2:11">
      <c r="B790" s="1">
        <v>31123</v>
      </c>
      <c r="C790" s="4" t="s">
        <v>833</v>
      </c>
      <c r="D790" s="19">
        <f t="shared" si="12"/>
        <v>0</v>
      </c>
      <c r="E790" s="19">
        <f>SUMIF('C1'!$B$6:$B$2228,B790,'C1'!$D$6:$D$2228)</f>
        <v>0</v>
      </c>
      <c r="F790" s="19">
        <f>SUMIF('C2'!$B$6:$B$2228,B790,'C2'!$D$6:$D$2228)</f>
        <v>0</v>
      </c>
      <c r="G790" s="19">
        <f>SUMIF('C3'!$B$6:$B$2228,B790,'C3'!$D$6:$D$2228)</f>
        <v>0</v>
      </c>
      <c r="H790" s="22"/>
      <c r="I790" s="22"/>
      <c r="J790" s="4" t="s">
        <v>691</v>
      </c>
      <c r="K790" s="4" t="s">
        <v>712</v>
      </c>
    </row>
    <row r="791" spans="2:11">
      <c r="B791" s="1">
        <v>31124</v>
      </c>
      <c r="C791" s="4" t="s">
        <v>834</v>
      </c>
      <c r="D791" s="19">
        <f t="shared" si="12"/>
        <v>0</v>
      </c>
      <c r="E791" s="19">
        <f>SUMIF('C1'!$B$6:$B$2228,B791,'C1'!$D$6:$D$2228)</f>
        <v>0</v>
      </c>
      <c r="F791" s="19">
        <f>SUMIF('C2'!$B$6:$B$2228,B791,'C2'!$D$6:$D$2228)</f>
        <v>0</v>
      </c>
      <c r="G791" s="19">
        <f>SUMIF('C3'!$B$6:$B$2228,B791,'C3'!$D$6:$D$2228)</f>
        <v>0</v>
      </c>
      <c r="H791" s="22"/>
      <c r="I791" s="22"/>
      <c r="J791" s="4" t="s">
        <v>691</v>
      </c>
      <c r="K791" s="4" t="s">
        <v>712</v>
      </c>
    </row>
    <row r="792" spans="2:11">
      <c r="B792" s="1">
        <v>31125</v>
      </c>
      <c r="C792" s="4" t="s">
        <v>835</v>
      </c>
      <c r="D792" s="19">
        <f t="shared" si="12"/>
        <v>0</v>
      </c>
      <c r="E792" s="19">
        <f>SUMIF('C1'!$B$6:$B$2228,B792,'C1'!$D$6:$D$2228)</f>
        <v>0</v>
      </c>
      <c r="F792" s="19">
        <f>SUMIF('C2'!$B$6:$B$2228,B792,'C2'!$D$6:$D$2228)</f>
        <v>0</v>
      </c>
      <c r="G792" s="19">
        <f>SUMIF('C3'!$B$6:$B$2228,B792,'C3'!$D$6:$D$2228)</f>
        <v>0</v>
      </c>
      <c r="H792" s="22"/>
      <c r="I792" s="22"/>
      <c r="J792" s="4" t="s">
        <v>691</v>
      </c>
      <c r="K792" s="4" t="s">
        <v>712</v>
      </c>
    </row>
    <row r="793" spans="2:11">
      <c r="B793" s="1">
        <v>31126</v>
      </c>
      <c r="C793" s="4" t="s">
        <v>836</v>
      </c>
      <c r="D793" s="19">
        <f t="shared" si="12"/>
        <v>0</v>
      </c>
      <c r="E793" s="19">
        <f>SUMIF('C1'!$B$6:$B$2228,B793,'C1'!$D$6:$D$2228)</f>
        <v>0</v>
      </c>
      <c r="F793" s="19">
        <f>SUMIF('C2'!$B$6:$B$2228,B793,'C2'!$D$6:$D$2228)</f>
        <v>0</v>
      </c>
      <c r="G793" s="19">
        <f>SUMIF('C3'!$B$6:$B$2228,B793,'C3'!$D$6:$D$2228)</f>
        <v>0</v>
      </c>
      <c r="H793" s="22"/>
      <c r="I793" s="22"/>
      <c r="J793" s="4" t="s">
        <v>691</v>
      </c>
      <c r="K793" s="4" t="s">
        <v>712</v>
      </c>
    </row>
    <row r="794" spans="2:11">
      <c r="B794" s="1">
        <v>31127</v>
      </c>
      <c r="C794" s="4" t="s">
        <v>837</v>
      </c>
      <c r="D794" s="19">
        <f t="shared" si="12"/>
        <v>0</v>
      </c>
      <c r="E794" s="19">
        <f>SUMIF('C1'!$B$6:$B$2228,B794,'C1'!$D$6:$D$2228)</f>
        <v>0</v>
      </c>
      <c r="F794" s="19">
        <f>SUMIF('C2'!$B$6:$B$2228,B794,'C2'!$D$6:$D$2228)</f>
        <v>0</v>
      </c>
      <c r="G794" s="19">
        <f>SUMIF('C3'!$B$6:$B$2228,B794,'C3'!$D$6:$D$2228)</f>
        <v>0</v>
      </c>
      <c r="H794" s="22"/>
      <c r="I794" s="22"/>
      <c r="J794" s="4" t="s">
        <v>691</v>
      </c>
      <c r="K794" s="4" t="s">
        <v>733</v>
      </c>
    </row>
    <row r="795" spans="2:11">
      <c r="B795" s="1">
        <v>31128</v>
      </c>
      <c r="C795" s="4" t="s">
        <v>838</v>
      </c>
      <c r="D795" s="19">
        <f t="shared" si="12"/>
        <v>0</v>
      </c>
      <c r="E795" s="19">
        <f>SUMIF('C1'!$B$6:$B$2228,B795,'C1'!$D$6:$D$2228)</f>
        <v>0</v>
      </c>
      <c r="F795" s="19">
        <f>SUMIF('C2'!$B$6:$B$2228,B795,'C2'!$D$6:$D$2228)</f>
        <v>0</v>
      </c>
      <c r="G795" s="19">
        <f>SUMIF('C3'!$B$6:$B$2228,B795,'C3'!$D$6:$D$2228)</f>
        <v>0</v>
      </c>
      <c r="H795" s="22"/>
      <c r="I795" s="22"/>
      <c r="J795" s="4" t="s">
        <v>691</v>
      </c>
      <c r="K795" s="4" t="s">
        <v>712</v>
      </c>
    </row>
    <row r="796" spans="2:11">
      <c r="B796" s="1">
        <v>31129</v>
      </c>
      <c r="C796" s="4" t="s">
        <v>839</v>
      </c>
      <c r="D796" s="19">
        <f t="shared" si="12"/>
        <v>0</v>
      </c>
      <c r="E796" s="19">
        <f>SUMIF('C1'!$B$6:$B$2228,B796,'C1'!$D$6:$D$2228)</f>
        <v>0</v>
      </c>
      <c r="F796" s="19">
        <f>SUMIF('C2'!$B$6:$B$2228,B796,'C2'!$D$6:$D$2228)</f>
        <v>0</v>
      </c>
      <c r="G796" s="19">
        <f>SUMIF('C3'!$B$6:$B$2228,B796,'C3'!$D$6:$D$2228)</f>
        <v>0</v>
      </c>
      <c r="H796" s="22"/>
      <c r="I796" s="22"/>
      <c r="J796" s="4" t="s">
        <v>691</v>
      </c>
      <c r="K796" s="4" t="s">
        <v>712</v>
      </c>
    </row>
    <row r="797" spans="2:11">
      <c r="B797" s="1">
        <v>31130</v>
      </c>
      <c r="C797" s="4" t="s">
        <v>840</v>
      </c>
      <c r="D797" s="19">
        <f t="shared" si="12"/>
        <v>0</v>
      </c>
      <c r="E797" s="19">
        <f>SUMIF('C1'!$B$6:$B$2228,B797,'C1'!$D$6:$D$2228)</f>
        <v>0</v>
      </c>
      <c r="F797" s="19">
        <f>SUMIF('C2'!$B$6:$B$2228,B797,'C2'!$D$6:$D$2228)</f>
        <v>0</v>
      </c>
      <c r="G797" s="19">
        <f>SUMIF('C3'!$B$6:$B$2228,B797,'C3'!$D$6:$D$2228)</f>
        <v>0</v>
      </c>
      <c r="H797" s="22"/>
      <c r="I797" s="22"/>
      <c r="J797" s="4" t="s">
        <v>691</v>
      </c>
      <c r="K797" s="4" t="s">
        <v>712</v>
      </c>
    </row>
    <row r="798" spans="2:11">
      <c r="B798" s="1">
        <v>31131</v>
      </c>
      <c r="C798" s="4" t="s">
        <v>841</v>
      </c>
      <c r="D798" s="19">
        <f t="shared" si="12"/>
        <v>0</v>
      </c>
      <c r="E798" s="19">
        <f>SUMIF('C1'!$B$6:$B$2228,B798,'C1'!$D$6:$D$2228)</f>
        <v>0</v>
      </c>
      <c r="F798" s="19">
        <f>SUMIF('C2'!$B$6:$B$2228,B798,'C2'!$D$6:$D$2228)</f>
        <v>0</v>
      </c>
      <c r="G798" s="19">
        <f>SUMIF('C3'!$B$6:$B$2228,B798,'C3'!$D$6:$D$2228)</f>
        <v>0</v>
      </c>
      <c r="H798" s="22"/>
      <c r="I798" s="22"/>
      <c r="J798" s="4" t="s">
        <v>691</v>
      </c>
      <c r="K798" s="4" t="s">
        <v>712</v>
      </c>
    </row>
    <row r="799" spans="2:11">
      <c r="B799" s="1">
        <v>31132</v>
      </c>
      <c r="C799" s="4" t="s">
        <v>842</v>
      </c>
      <c r="D799" s="19">
        <f t="shared" si="12"/>
        <v>0</v>
      </c>
      <c r="E799" s="19">
        <f>SUMIF('C1'!$B$6:$B$2228,B799,'C1'!$D$6:$D$2228)</f>
        <v>0</v>
      </c>
      <c r="F799" s="19">
        <f>SUMIF('C2'!$B$6:$B$2228,B799,'C2'!$D$6:$D$2228)</f>
        <v>0</v>
      </c>
      <c r="G799" s="19">
        <f>SUMIF('C3'!$B$6:$B$2228,B799,'C3'!$D$6:$D$2228)</f>
        <v>0</v>
      </c>
      <c r="H799" s="22"/>
      <c r="I799" s="22"/>
      <c r="J799" s="4" t="s">
        <v>691</v>
      </c>
      <c r="K799" s="4" t="s">
        <v>744</v>
      </c>
    </row>
    <row r="800" spans="2:11">
      <c r="B800" s="1">
        <v>31133</v>
      </c>
      <c r="C800" s="4" t="s">
        <v>843</v>
      </c>
      <c r="D800" s="19">
        <f t="shared" si="12"/>
        <v>0</v>
      </c>
      <c r="E800" s="19">
        <f>SUMIF('C1'!$B$6:$B$2228,B800,'C1'!$D$6:$D$2228)</f>
        <v>0</v>
      </c>
      <c r="F800" s="19">
        <f>SUMIF('C2'!$B$6:$B$2228,B800,'C2'!$D$6:$D$2228)</f>
        <v>0</v>
      </c>
      <c r="G800" s="19">
        <f>SUMIF('C3'!$B$6:$B$2228,B800,'C3'!$D$6:$D$2228)</f>
        <v>0</v>
      </c>
      <c r="H800" s="22"/>
      <c r="I800" s="22"/>
      <c r="J800" s="4" t="s">
        <v>691</v>
      </c>
      <c r="K800" s="4" t="s">
        <v>738</v>
      </c>
    </row>
    <row r="801" spans="2:11">
      <c r="B801" s="1">
        <v>31134</v>
      </c>
      <c r="C801" s="4" t="s">
        <v>844</v>
      </c>
      <c r="D801" s="19">
        <f t="shared" si="12"/>
        <v>0</v>
      </c>
      <c r="E801" s="19">
        <f>SUMIF('C1'!$B$6:$B$2228,B801,'C1'!$D$6:$D$2228)</f>
        <v>0</v>
      </c>
      <c r="F801" s="19">
        <f>SUMIF('C2'!$B$6:$B$2228,B801,'C2'!$D$6:$D$2228)</f>
        <v>0</v>
      </c>
      <c r="G801" s="19">
        <f>SUMIF('C3'!$B$6:$B$2228,B801,'C3'!$D$6:$D$2228)</f>
        <v>0</v>
      </c>
      <c r="H801" s="22"/>
      <c r="I801" s="22"/>
      <c r="J801" s="4" t="s">
        <v>691</v>
      </c>
      <c r="K801" s="4" t="s">
        <v>712</v>
      </c>
    </row>
    <row r="802" spans="2:11">
      <c r="B802" s="1">
        <v>31135</v>
      </c>
      <c r="C802" s="4" t="s">
        <v>845</v>
      </c>
      <c r="D802" s="19">
        <f t="shared" si="12"/>
        <v>0</v>
      </c>
      <c r="E802" s="19">
        <f>SUMIF('C1'!$B$6:$B$2228,B802,'C1'!$D$6:$D$2228)</f>
        <v>0</v>
      </c>
      <c r="F802" s="19">
        <f>SUMIF('C2'!$B$6:$B$2228,B802,'C2'!$D$6:$D$2228)</f>
        <v>0</v>
      </c>
      <c r="G802" s="19">
        <f>SUMIF('C3'!$B$6:$B$2228,B802,'C3'!$D$6:$D$2228)</f>
        <v>0</v>
      </c>
      <c r="H802" s="22"/>
      <c r="I802" s="22"/>
      <c r="J802" s="4" t="s">
        <v>691</v>
      </c>
      <c r="K802" s="4" t="s">
        <v>738</v>
      </c>
    </row>
    <row r="803" spans="2:11">
      <c r="B803" s="1">
        <v>31136</v>
      </c>
      <c r="C803" s="4" t="s">
        <v>846</v>
      </c>
      <c r="D803" s="19">
        <f t="shared" si="12"/>
        <v>0</v>
      </c>
      <c r="E803" s="19">
        <f>SUMIF('C1'!$B$6:$B$2228,B803,'C1'!$D$6:$D$2228)</f>
        <v>0</v>
      </c>
      <c r="F803" s="19">
        <f>SUMIF('C2'!$B$6:$B$2228,B803,'C2'!$D$6:$D$2228)</f>
        <v>0</v>
      </c>
      <c r="G803" s="19">
        <f>SUMIF('C3'!$B$6:$B$2228,B803,'C3'!$D$6:$D$2228)</f>
        <v>0</v>
      </c>
      <c r="H803" s="22"/>
      <c r="I803" s="22"/>
      <c r="J803" s="4" t="s">
        <v>691</v>
      </c>
      <c r="K803" s="4" t="s">
        <v>738</v>
      </c>
    </row>
    <row r="804" spans="2:11">
      <c r="B804" s="1">
        <v>31137</v>
      </c>
      <c r="C804" s="4" t="s">
        <v>847</v>
      </c>
      <c r="D804" s="19">
        <f t="shared" si="12"/>
        <v>0</v>
      </c>
      <c r="E804" s="19">
        <f>SUMIF('C1'!$B$6:$B$2228,B804,'C1'!$D$6:$D$2228)</f>
        <v>0</v>
      </c>
      <c r="F804" s="19">
        <f>SUMIF('C2'!$B$6:$B$2228,B804,'C2'!$D$6:$D$2228)</f>
        <v>0</v>
      </c>
      <c r="G804" s="19">
        <f>SUMIF('C3'!$B$6:$B$2228,B804,'C3'!$D$6:$D$2228)</f>
        <v>0</v>
      </c>
      <c r="H804" s="22"/>
      <c r="I804" s="22"/>
      <c r="J804" s="4" t="s">
        <v>691</v>
      </c>
      <c r="K804" s="4" t="s">
        <v>738</v>
      </c>
    </row>
    <row r="805" spans="2:11">
      <c r="B805" s="1">
        <v>31138</v>
      </c>
      <c r="C805" s="4" t="s">
        <v>848</v>
      </c>
      <c r="D805" s="19">
        <f t="shared" si="12"/>
        <v>0</v>
      </c>
      <c r="E805" s="19">
        <f>SUMIF('C1'!$B$6:$B$2228,B805,'C1'!$D$6:$D$2228)</f>
        <v>0</v>
      </c>
      <c r="F805" s="19">
        <f>SUMIF('C2'!$B$6:$B$2228,B805,'C2'!$D$6:$D$2228)</f>
        <v>0</v>
      </c>
      <c r="G805" s="19">
        <f>SUMIF('C3'!$B$6:$B$2228,B805,'C3'!$D$6:$D$2228)</f>
        <v>0</v>
      </c>
      <c r="H805" s="22"/>
      <c r="I805" s="22"/>
      <c r="J805" s="4" t="s">
        <v>691</v>
      </c>
      <c r="K805" s="4" t="s">
        <v>733</v>
      </c>
    </row>
    <row r="806" spans="2:11">
      <c r="B806" s="1">
        <v>31139</v>
      </c>
      <c r="C806" s="4" t="s">
        <v>849</v>
      </c>
      <c r="D806" s="19">
        <f t="shared" si="12"/>
        <v>0</v>
      </c>
      <c r="E806" s="19">
        <f>SUMIF('C1'!$B$6:$B$2228,B806,'C1'!$D$6:$D$2228)</f>
        <v>0</v>
      </c>
      <c r="F806" s="19">
        <f>SUMIF('C2'!$B$6:$B$2228,B806,'C2'!$D$6:$D$2228)</f>
        <v>0</v>
      </c>
      <c r="G806" s="19">
        <f>SUMIF('C3'!$B$6:$B$2228,B806,'C3'!$D$6:$D$2228)</f>
        <v>0</v>
      </c>
      <c r="H806" s="22"/>
      <c r="I806" s="22"/>
      <c r="J806" s="4" t="s">
        <v>691</v>
      </c>
      <c r="K806" s="4" t="s">
        <v>733</v>
      </c>
    </row>
    <row r="807" spans="2:11">
      <c r="B807" s="1">
        <v>51001</v>
      </c>
      <c r="C807" s="4" t="s">
        <v>850</v>
      </c>
      <c r="D807" s="19">
        <f t="shared" si="12"/>
        <v>0</v>
      </c>
      <c r="E807" s="19">
        <f>SUMIF('C1'!$B$6:$B$2228,B807,'C1'!$D$6:$D$2228)</f>
        <v>0</v>
      </c>
      <c r="F807" s="19">
        <f>SUMIF('C2'!$B$6:$B$2228,B807,'C2'!$D$6:$D$2228)</f>
        <v>0</v>
      </c>
      <c r="G807" s="19">
        <f>SUMIF('C3'!$B$6:$B$2228,B807,'C3'!$D$6:$D$2228)</f>
        <v>0</v>
      </c>
      <c r="H807" s="22"/>
      <c r="I807" s="22"/>
      <c r="J807" s="4" t="s">
        <v>851</v>
      </c>
      <c r="K807" s="4" t="s">
        <v>852</v>
      </c>
    </row>
    <row r="808" spans="2:11">
      <c r="B808" s="1">
        <v>51002</v>
      </c>
      <c r="C808" s="4" t="s">
        <v>853</v>
      </c>
      <c r="D808" s="19">
        <f t="shared" si="12"/>
        <v>0</v>
      </c>
      <c r="E808" s="19">
        <f>SUMIF('C1'!$B$6:$B$2228,B808,'C1'!$D$6:$D$2228)</f>
        <v>0</v>
      </c>
      <c r="F808" s="19">
        <f>SUMIF('C2'!$B$6:$B$2228,B808,'C2'!$D$6:$D$2228)</f>
        <v>0</v>
      </c>
      <c r="G808" s="19">
        <f>SUMIF('C3'!$B$6:$B$2228,B808,'C3'!$D$6:$D$2228)</f>
        <v>0</v>
      </c>
      <c r="H808" s="22"/>
      <c r="I808" s="22"/>
      <c r="J808" s="4" t="s">
        <v>851</v>
      </c>
      <c r="K808" s="4" t="s">
        <v>852</v>
      </c>
    </row>
    <row r="809" spans="2:11">
      <c r="B809" s="1">
        <v>51003</v>
      </c>
      <c r="C809" s="4" t="s">
        <v>854</v>
      </c>
      <c r="D809" s="19">
        <f t="shared" si="12"/>
        <v>0</v>
      </c>
      <c r="E809" s="19">
        <f>SUMIF('C1'!$B$6:$B$2228,B809,'C1'!$D$6:$D$2228)</f>
        <v>0</v>
      </c>
      <c r="F809" s="19">
        <f>SUMIF('C2'!$B$6:$B$2228,B809,'C2'!$D$6:$D$2228)</f>
        <v>0</v>
      </c>
      <c r="G809" s="19">
        <f>SUMIF('C3'!$B$6:$B$2228,B809,'C3'!$D$6:$D$2228)</f>
        <v>0</v>
      </c>
      <c r="H809" s="22"/>
      <c r="I809" s="22"/>
      <c r="J809" s="4" t="s">
        <v>851</v>
      </c>
      <c r="K809" s="4" t="s">
        <v>855</v>
      </c>
    </row>
    <row r="810" spans="2:11">
      <c r="B810" s="1">
        <v>51004</v>
      </c>
      <c r="C810" s="4" t="s">
        <v>856</v>
      </c>
      <c r="D810" s="19">
        <f t="shared" si="12"/>
        <v>0</v>
      </c>
      <c r="E810" s="19">
        <f>SUMIF('C1'!$B$6:$B$2228,B810,'C1'!$D$6:$D$2228)</f>
        <v>0</v>
      </c>
      <c r="F810" s="19">
        <f>SUMIF('C2'!$B$6:$B$2228,B810,'C2'!$D$6:$D$2228)</f>
        <v>0</v>
      </c>
      <c r="G810" s="19">
        <f>SUMIF('C3'!$B$6:$B$2228,B810,'C3'!$D$6:$D$2228)</f>
        <v>0</v>
      </c>
      <c r="H810" s="22"/>
      <c r="I810" s="22"/>
      <c r="J810" s="4" t="s">
        <v>851</v>
      </c>
      <c r="K810" s="4" t="s">
        <v>852</v>
      </c>
    </row>
    <row r="811" spans="2:11">
      <c r="B811" s="1">
        <v>51005</v>
      </c>
      <c r="C811" s="4" t="s">
        <v>857</v>
      </c>
      <c r="D811" s="19">
        <f t="shared" si="12"/>
        <v>0</v>
      </c>
      <c r="E811" s="19">
        <f>SUMIF('C1'!$B$6:$B$2228,B811,'C1'!$D$6:$D$2228)</f>
        <v>0</v>
      </c>
      <c r="F811" s="19">
        <f>SUMIF('C2'!$B$6:$B$2228,B811,'C2'!$D$6:$D$2228)</f>
        <v>0</v>
      </c>
      <c r="G811" s="19">
        <f>SUMIF('C3'!$B$6:$B$2228,B811,'C3'!$D$6:$D$2228)</f>
        <v>0</v>
      </c>
      <c r="H811" s="22"/>
      <c r="I811" s="22"/>
      <c r="J811" s="4" t="s">
        <v>851</v>
      </c>
      <c r="K811" s="4" t="s">
        <v>852</v>
      </c>
    </row>
    <row r="812" spans="2:11">
      <c r="B812" s="1">
        <v>51006</v>
      </c>
      <c r="C812" s="4" t="s">
        <v>858</v>
      </c>
      <c r="D812" s="19">
        <f t="shared" si="12"/>
        <v>0</v>
      </c>
      <c r="E812" s="19">
        <f>SUMIF('C1'!$B$6:$B$2228,B812,'C1'!$D$6:$D$2228)</f>
        <v>0</v>
      </c>
      <c r="F812" s="19">
        <f>SUMIF('C2'!$B$6:$B$2228,B812,'C2'!$D$6:$D$2228)</f>
        <v>0</v>
      </c>
      <c r="G812" s="19">
        <f>SUMIF('C3'!$B$6:$B$2228,B812,'C3'!$D$6:$D$2228)</f>
        <v>0</v>
      </c>
      <c r="H812" s="22"/>
      <c r="I812" s="22"/>
      <c r="J812" s="4" t="s">
        <v>851</v>
      </c>
      <c r="K812" s="4" t="s">
        <v>852</v>
      </c>
    </row>
    <row r="813" spans="2:11">
      <c r="B813" s="1">
        <v>51007</v>
      </c>
      <c r="C813" s="4" t="s">
        <v>859</v>
      </c>
      <c r="D813" s="19">
        <f t="shared" si="12"/>
        <v>0</v>
      </c>
      <c r="E813" s="19">
        <f>SUMIF('C1'!$B$6:$B$2228,B813,'C1'!$D$6:$D$2228)</f>
        <v>0</v>
      </c>
      <c r="F813" s="19">
        <f>SUMIF('C2'!$B$6:$B$2228,B813,'C2'!$D$6:$D$2228)</f>
        <v>0</v>
      </c>
      <c r="G813" s="19">
        <f>SUMIF('C3'!$B$6:$B$2228,B813,'C3'!$D$6:$D$2228)</f>
        <v>0</v>
      </c>
      <c r="H813" s="22"/>
      <c r="I813" s="22"/>
      <c r="J813" s="4" t="s">
        <v>851</v>
      </c>
      <c r="K813" s="4" t="s">
        <v>852</v>
      </c>
    </row>
    <row r="814" spans="2:11">
      <c r="B814" s="1">
        <v>51008</v>
      </c>
      <c r="C814" s="4" t="s">
        <v>860</v>
      </c>
      <c r="D814" s="19">
        <f t="shared" si="12"/>
        <v>0</v>
      </c>
      <c r="E814" s="19">
        <f>SUMIF('C1'!$B$6:$B$2228,B814,'C1'!$D$6:$D$2228)</f>
        <v>0</v>
      </c>
      <c r="F814" s="19">
        <f>SUMIF('C2'!$B$6:$B$2228,B814,'C2'!$D$6:$D$2228)</f>
        <v>0</v>
      </c>
      <c r="G814" s="19">
        <f>SUMIF('C3'!$B$6:$B$2228,B814,'C3'!$D$6:$D$2228)</f>
        <v>0</v>
      </c>
      <c r="H814" s="22"/>
      <c r="I814" s="22"/>
      <c r="J814" s="4" t="s">
        <v>851</v>
      </c>
      <c r="K814" s="4" t="s">
        <v>852</v>
      </c>
    </row>
    <row r="815" spans="2:11">
      <c r="B815" s="1">
        <v>51009</v>
      </c>
      <c r="C815" s="4" t="s">
        <v>861</v>
      </c>
      <c r="D815" s="19">
        <f t="shared" si="12"/>
        <v>0</v>
      </c>
      <c r="E815" s="19">
        <f>SUMIF('C1'!$B$6:$B$2228,B815,'C1'!$D$6:$D$2228)</f>
        <v>0</v>
      </c>
      <c r="F815" s="19">
        <f>SUMIF('C2'!$B$6:$B$2228,B815,'C2'!$D$6:$D$2228)</f>
        <v>0</v>
      </c>
      <c r="G815" s="19">
        <f>SUMIF('C3'!$B$6:$B$2228,B815,'C3'!$D$6:$D$2228)</f>
        <v>0</v>
      </c>
      <c r="H815" s="22"/>
      <c r="I815" s="22"/>
      <c r="J815" s="4" t="s">
        <v>851</v>
      </c>
      <c r="K815" s="4" t="s">
        <v>852</v>
      </c>
    </row>
    <row r="816" spans="2:11">
      <c r="B816" s="1">
        <v>51010</v>
      </c>
      <c r="C816" s="4" t="s">
        <v>862</v>
      </c>
      <c r="D816" s="19">
        <f t="shared" si="12"/>
        <v>0</v>
      </c>
      <c r="E816" s="19">
        <f>SUMIF('C1'!$B$6:$B$2228,B816,'C1'!$D$6:$D$2228)</f>
        <v>0</v>
      </c>
      <c r="F816" s="19">
        <f>SUMIF('C2'!$B$6:$B$2228,B816,'C2'!$D$6:$D$2228)</f>
        <v>0</v>
      </c>
      <c r="G816" s="19">
        <f>SUMIF('C3'!$B$6:$B$2228,B816,'C3'!$D$6:$D$2228)</f>
        <v>0</v>
      </c>
      <c r="H816" s="22"/>
      <c r="I816" s="22"/>
      <c r="J816" s="4" t="s">
        <v>851</v>
      </c>
      <c r="K816" s="4" t="s">
        <v>852</v>
      </c>
    </row>
    <row r="817" spans="2:11">
      <c r="B817" s="1">
        <v>51011</v>
      </c>
      <c r="C817" s="4" t="s">
        <v>863</v>
      </c>
      <c r="D817" s="19">
        <f t="shared" si="12"/>
        <v>0</v>
      </c>
      <c r="E817" s="19">
        <f>SUMIF('C1'!$B$6:$B$2228,B817,'C1'!$D$6:$D$2228)</f>
        <v>0</v>
      </c>
      <c r="F817" s="19">
        <f>SUMIF('C2'!$B$6:$B$2228,B817,'C2'!$D$6:$D$2228)</f>
        <v>0</v>
      </c>
      <c r="G817" s="19">
        <f>SUMIF('C3'!$B$6:$B$2228,B817,'C3'!$D$6:$D$2228)</f>
        <v>0</v>
      </c>
      <c r="H817" s="22"/>
      <c r="I817" s="22"/>
      <c r="J817" s="4" t="s">
        <v>851</v>
      </c>
      <c r="K817" s="4" t="s">
        <v>852</v>
      </c>
    </row>
    <row r="818" spans="2:11">
      <c r="B818" s="1">
        <v>51012</v>
      </c>
      <c r="C818" s="4" t="s">
        <v>864</v>
      </c>
      <c r="D818" s="19">
        <f t="shared" si="12"/>
        <v>0</v>
      </c>
      <c r="E818" s="19">
        <f>SUMIF('C1'!$B$6:$B$2228,B818,'C1'!$D$6:$D$2228)</f>
        <v>0</v>
      </c>
      <c r="F818" s="19">
        <f>SUMIF('C2'!$B$6:$B$2228,B818,'C2'!$D$6:$D$2228)</f>
        <v>0</v>
      </c>
      <c r="G818" s="19">
        <f>SUMIF('C3'!$B$6:$B$2228,B818,'C3'!$D$6:$D$2228)</f>
        <v>0</v>
      </c>
      <c r="H818" s="22"/>
      <c r="I818" s="22"/>
      <c r="J818" s="4" t="s">
        <v>851</v>
      </c>
      <c r="K818" s="4" t="s">
        <v>852</v>
      </c>
    </row>
    <row r="819" spans="2:11">
      <c r="B819" s="1">
        <v>51013</v>
      </c>
      <c r="C819" s="4" t="s">
        <v>865</v>
      </c>
      <c r="D819" s="19">
        <f t="shared" si="12"/>
        <v>0</v>
      </c>
      <c r="E819" s="19">
        <f>SUMIF('C1'!$B$6:$B$2228,B819,'C1'!$D$6:$D$2228)</f>
        <v>0</v>
      </c>
      <c r="F819" s="19">
        <f>SUMIF('C2'!$B$6:$B$2228,B819,'C2'!$D$6:$D$2228)</f>
        <v>0</v>
      </c>
      <c r="G819" s="19">
        <f>SUMIF('C3'!$B$6:$B$2228,B819,'C3'!$D$6:$D$2228)</f>
        <v>0</v>
      </c>
      <c r="H819" s="22"/>
      <c r="I819" s="22"/>
      <c r="J819" s="4" t="s">
        <v>851</v>
      </c>
      <c r="K819" s="4" t="s">
        <v>852</v>
      </c>
    </row>
    <row r="820" spans="2:11">
      <c r="B820" s="1">
        <v>51014</v>
      </c>
      <c r="C820" s="4" t="s">
        <v>866</v>
      </c>
      <c r="D820" s="19">
        <f t="shared" si="12"/>
        <v>0</v>
      </c>
      <c r="E820" s="19">
        <f>SUMIF('C1'!$B$6:$B$2228,B820,'C1'!$D$6:$D$2228)</f>
        <v>0</v>
      </c>
      <c r="F820" s="19">
        <f>SUMIF('C2'!$B$6:$B$2228,B820,'C2'!$D$6:$D$2228)</f>
        <v>0</v>
      </c>
      <c r="G820" s="19">
        <f>SUMIF('C3'!$B$6:$B$2228,B820,'C3'!$D$6:$D$2228)</f>
        <v>0</v>
      </c>
      <c r="H820" s="22"/>
      <c r="I820" s="22"/>
      <c r="J820" s="4" t="s">
        <v>851</v>
      </c>
      <c r="K820" s="4" t="s">
        <v>852</v>
      </c>
    </row>
    <row r="821" spans="2:11">
      <c r="B821" s="1">
        <v>51015</v>
      </c>
      <c r="C821" s="4" t="s">
        <v>867</v>
      </c>
      <c r="D821" s="19">
        <f t="shared" si="12"/>
        <v>0</v>
      </c>
      <c r="E821" s="19">
        <f>SUMIF('C1'!$B$6:$B$2228,B821,'C1'!$D$6:$D$2228)</f>
        <v>0</v>
      </c>
      <c r="F821" s="19">
        <f>SUMIF('C2'!$B$6:$B$2228,B821,'C2'!$D$6:$D$2228)</f>
        <v>0</v>
      </c>
      <c r="G821" s="19">
        <f>SUMIF('C3'!$B$6:$B$2228,B821,'C3'!$D$6:$D$2228)</f>
        <v>0</v>
      </c>
      <c r="H821" s="22"/>
      <c r="I821" s="22"/>
      <c r="J821" s="4" t="s">
        <v>851</v>
      </c>
      <c r="K821" s="4" t="s">
        <v>852</v>
      </c>
    </row>
    <row r="822" spans="2:11">
      <c r="B822" s="1">
        <v>51016</v>
      </c>
      <c r="C822" s="4" t="s">
        <v>868</v>
      </c>
      <c r="D822" s="19">
        <f t="shared" si="12"/>
        <v>0</v>
      </c>
      <c r="E822" s="19">
        <f>SUMIF('C1'!$B$6:$B$2228,B822,'C1'!$D$6:$D$2228)</f>
        <v>0</v>
      </c>
      <c r="F822" s="19">
        <f>SUMIF('C2'!$B$6:$B$2228,B822,'C2'!$D$6:$D$2228)</f>
        <v>0</v>
      </c>
      <c r="G822" s="19">
        <f>SUMIF('C3'!$B$6:$B$2228,B822,'C3'!$D$6:$D$2228)</f>
        <v>0</v>
      </c>
      <c r="H822" s="22"/>
      <c r="I822" s="22"/>
      <c r="J822" s="4" t="s">
        <v>851</v>
      </c>
      <c r="K822" s="4" t="s">
        <v>852</v>
      </c>
    </row>
    <row r="823" spans="2:11">
      <c r="B823" s="1">
        <v>51017</v>
      </c>
      <c r="C823" s="4" t="s">
        <v>869</v>
      </c>
      <c r="D823" s="19">
        <f t="shared" si="12"/>
        <v>0</v>
      </c>
      <c r="E823" s="19">
        <f>SUMIF('C1'!$B$6:$B$2228,B823,'C1'!$D$6:$D$2228)</f>
        <v>0</v>
      </c>
      <c r="F823" s="19">
        <f>SUMIF('C2'!$B$6:$B$2228,B823,'C2'!$D$6:$D$2228)</f>
        <v>0</v>
      </c>
      <c r="G823" s="19">
        <f>SUMIF('C3'!$B$6:$B$2228,B823,'C3'!$D$6:$D$2228)</f>
        <v>0</v>
      </c>
      <c r="H823" s="22"/>
      <c r="I823" s="22"/>
      <c r="J823" s="4" t="s">
        <v>851</v>
      </c>
      <c r="K823" s="4" t="s">
        <v>852</v>
      </c>
    </row>
    <row r="824" spans="2:11">
      <c r="B824" s="1">
        <v>51018</v>
      </c>
      <c r="C824" s="4" t="s">
        <v>870</v>
      </c>
      <c r="D824" s="19">
        <f t="shared" si="12"/>
        <v>0</v>
      </c>
      <c r="E824" s="19">
        <f>SUMIF('C1'!$B$6:$B$2228,B824,'C1'!$D$6:$D$2228)</f>
        <v>0</v>
      </c>
      <c r="F824" s="19">
        <f>SUMIF('C2'!$B$6:$B$2228,B824,'C2'!$D$6:$D$2228)</f>
        <v>0</v>
      </c>
      <c r="G824" s="19">
        <f>SUMIF('C3'!$B$6:$B$2228,B824,'C3'!$D$6:$D$2228)</f>
        <v>0</v>
      </c>
      <c r="H824" s="22"/>
      <c r="I824" s="22"/>
      <c r="J824" s="4" t="s">
        <v>851</v>
      </c>
      <c r="K824" s="4" t="s">
        <v>852</v>
      </c>
    </row>
    <row r="825" spans="2:11">
      <c r="B825" s="1">
        <v>51019</v>
      </c>
      <c r="C825" s="4" t="s">
        <v>871</v>
      </c>
      <c r="D825" s="19">
        <f t="shared" si="12"/>
        <v>0</v>
      </c>
      <c r="E825" s="19">
        <f>SUMIF('C1'!$B$6:$B$2228,B825,'C1'!$D$6:$D$2228)</f>
        <v>0</v>
      </c>
      <c r="F825" s="19">
        <f>SUMIF('C2'!$B$6:$B$2228,B825,'C2'!$D$6:$D$2228)</f>
        <v>0</v>
      </c>
      <c r="G825" s="19">
        <f>SUMIF('C3'!$B$6:$B$2228,B825,'C3'!$D$6:$D$2228)</f>
        <v>0</v>
      </c>
      <c r="H825" s="22"/>
      <c r="I825" s="22"/>
      <c r="J825" s="4" t="s">
        <v>851</v>
      </c>
      <c r="K825" s="4" t="s">
        <v>852</v>
      </c>
    </row>
    <row r="826" spans="2:11">
      <c r="B826" s="1">
        <v>51020</v>
      </c>
      <c r="C826" s="4" t="s">
        <v>872</v>
      </c>
      <c r="D826" s="19">
        <f t="shared" si="12"/>
        <v>0</v>
      </c>
      <c r="E826" s="19">
        <f>SUMIF('C1'!$B$6:$B$2228,B826,'C1'!$D$6:$D$2228)</f>
        <v>0</v>
      </c>
      <c r="F826" s="19">
        <f>SUMIF('C2'!$B$6:$B$2228,B826,'C2'!$D$6:$D$2228)</f>
        <v>0</v>
      </c>
      <c r="G826" s="19">
        <f>SUMIF('C3'!$B$6:$B$2228,B826,'C3'!$D$6:$D$2228)</f>
        <v>0</v>
      </c>
      <c r="H826" s="22"/>
      <c r="I826" s="22"/>
      <c r="J826" s="4" t="s">
        <v>851</v>
      </c>
      <c r="K826" s="4" t="s">
        <v>852</v>
      </c>
    </row>
    <row r="827" spans="2:11">
      <c r="B827" s="1">
        <v>51021</v>
      </c>
      <c r="C827" s="4" t="s">
        <v>873</v>
      </c>
      <c r="D827" s="19">
        <f t="shared" si="12"/>
        <v>0</v>
      </c>
      <c r="E827" s="19">
        <f>SUMIF('C1'!$B$6:$B$2228,B827,'C1'!$D$6:$D$2228)</f>
        <v>0</v>
      </c>
      <c r="F827" s="19">
        <f>SUMIF('C2'!$B$6:$B$2228,B827,'C2'!$D$6:$D$2228)</f>
        <v>0</v>
      </c>
      <c r="G827" s="19">
        <f>SUMIF('C3'!$B$6:$B$2228,B827,'C3'!$D$6:$D$2228)</f>
        <v>0</v>
      </c>
      <c r="H827" s="22"/>
      <c r="I827" s="22"/>
      <c r="J827" s="4" t="s">
        <v>851</v>
      </c>
      <c r="K827" s="4" t="s">
        <v>852</v>
      </c>
    </row>
    <row r="828" spans="2:11">
      <c r="B828" s="1">
        <v>51022</v>
      </c>
      <c r="C828" s="4" t="s">
        <v>874</v>
      </c>
      <c r="D828" s="19">
        <f t="shared" si="12"/>
        <v>0</v>
      </c>
      <c r="E828" s="19">
        <f>SUMIF('C1'!$B$6:$B$2228,B828,'C1'!$D$6:$D$2228)</f>
        <v>0</v>
      </c>
      <c r="F828" s="19">
        <f>SUMIF('C2'!$B$6:$B$2228,B828,'C2'!$D$6:$D$2228)</f>
        <v>0</v>
      </c>
      <c r="G828" s="19">
        <f>SUMIF('C3'!$B$6:$B$2228,B828,'C3'!$D$6:$D$2228)</f>
        <v>0</v>
      </c>
      <c r="H828" s="22"/>
      <c r="I828" s="22"/>
      <c r="J828" s="4" t="s">
        <v>851</v>
      </c>
      <c r="K828" s="4" t="s">
        <v>852</v>
      </c>
    </row>
    <row r="829" spans="2:11">
      <c r="B829" s="1">
        <v>51023</v>
      </c>
      <c r="C829" s="4" t="s">
        <v>875</v>
      </c>
      <c r="D829" s="19">
        <f t="shared" si="12"/>
        <v>0</v>
      </c>
      <c r="E829" s="19">
        <f>SUMIF('C1'!$B$6:$B$2228,B829,'C1'!$D$6:$D$2228)</f>
        <v>0</v>
      </c>
      <c r="F829" s="19">
        <f>SUMIF('C2'!$B$6:$B$2228,B829,'C2'!$D$6:$D$2228)</f>
        <v>0</v>
      </c>
      <c r="G829" s="19">
        <f>SUMIF('C3'!$B$6:$B$2228,B829,'C3'!$D$6:$D$2228)</f>
        <v>0</v>
      </c>
      <c r="H829" s="22"/>
      <c r="I829" s="22"/>
      <c r="J829" s="4" t="s">
        <v>851</v>
      </c>
      <c r="K829" s="4" t="s">
        <v>852</v>
      </c>
    </row>
    <row r="830" spans="2:11">
      <c r="B830" s="1">
        <v>51024</v>
      </c>
      <c r="C830" s="4" t="s">
        <v>876</v>
      </c>
      <c r="D830" s="19">
        <f t="shared" si="12"/>
        <v>0</v>
      </c>
      <c r="E830" s="19">
        <f>SUMIF('C1'!$B$6:$B$2228,B830,'C1'!$D$6:$D$2228)</f>
        <v>0</v>
      </c>
      <c r="F830" s="19">
        <f>SUMIF('C2'!$B$6:$B$2228,B830,'C2'!$D$6:$D$2228)</f>
        <v>0</v>
      </c>
      <c r="G830" s="19">
        <f>SUMIF('C3'!$B$6:$B$2228,B830,'C3'!$D$6:$D$2228)</f>
        <v>0</v>
      </c>
      <c r="H830" s="22"/>
      <c r="I830" s="22"/>
      <c r="J830" s="4" t="s">
        <v>851</v>
      </c>
      <c r="K830" s="4" t="s">
        <v>852</v>
      </c>
    </row>
    <row r="831" spans="2:11">
      <c r="B831" s="1">
        <v>51025</v>
      </c>
      <c r="C831" s="4" t="s">
        <v>877</v>
      </c>
      <c r="D831" s="19">
        <f t="shared" si="12"/>
        <v>0</v>
      </c>
      <c r="E831" s="19">
        <f>SUMIF('C1'!$B$6:$B$2228,B831,'C1'!$D$6:$D$2228)</f>
        <v>0</v>
      </c>
      <c r="F831" s="19">
        <f>SUMIF('C2'!$B$6:$B$2228,B831,'C2'!$D$6:$D$2228)</f>
        <v>0</v>
      </c>
      <c r="G831" s="19">
        <f>SUMIF('C3'!$B$6:$B$2228,B831,'C3'!$D$6:$D$2228)</f>
        <v>0</v>
      </c>
      <c r="H831" s="22"/>
      <c r="I831" s="22"/>
      <c r="J831" s="4" t="s">
        <v>851</v>
      </c>
      <c r="K831" s="4" t="s">
        <v>852</v>
      </c>
    </row>
    <row r="832" spans="2:11">
      <c r="B832" s="1">
        <v>51026</v>
      </c>
      <c r="C832" s="4" t="s">
        <v>878</v>
      </c>
      <c r="D832" s="19">
        <f t="shared" si="12"/>
        <v>0</v>
      </c>
      <c r="E832" s="19">
        <f>SUMIF('C1'!$B$6:$B$2228,B832,'C1'!$D$6:$D$2228)</f>
        <v>0</v>
      </c>
      <c r="F832" s="19">
        <f>SUMIF('C2'!$B$6:$B$2228,B832,'C2'!$D$6:$D$2228)</f>
        <v>0</v>
      </c>
      <c r="G832" s="19">
        <f>SUMIF('C3'!$B$6:$B$2228,B832,'C3'!$D$6:$D$2228)</f>
        <v>0</v>
      </c>
      <c r="H832" s="22"/>
      <c r="I832" s="22"/>
      <c r="J832" s="4" t="s">
        <v>851</v>
      </c>
      <c r="K832" s="4" t="s">
        <v>852</v>
      </c>
    </row>
    <row r="833" spans="2:11">
      <c r="B833" s="1">
        <v>51027</v>
      </c>
      <c r="C833" s="4" t="s">
        <v>879</v>
      </c>
      <c r="D833" s="19">
        <f t="shared" si="12"/>
        <v>0</v>
      </c>
      <c r="E833" s="19">
        <f>SUMIF('C1'!$B$6:$B$2228,B833,'C1'!$D$6:$D$2228)</f>
        <v>0</v>
      </c>
      <c r="F833" s="19">
        <f>SUMIF('C2'!$B$6:$B$2228,B833,'C2'!$D$6:$D$2228)</f>
        <v>0</v>
      </c>
      <c r="G833" s="19">
        <f>SUMIF('C3'!$B$6:$B$2228,B833,'C3'!$D$6:$D$2228)</f>
        <v>0</v>
      </c>
      <c r="H833" s="22"/>
      <c r="I833" s="22"/>
      <c r="J833" s="4" t="s">
        <v>851</v>
      </c>
      <c r="K833" s="4" t="s">
        <v>852</v>
      </c>
    </row>
    <row r="834" spans="2:11">
      <c r="B834" s="1">
        <v>51028</v>
      </c>
      <c r="C834" s="4" t="s">
        <v>880</v>
      </c>
      <c r="D834" s="19">
        <f t="shared" si="12"/>
        <v>0</v>
      </c>
      <c r="E834" s="19">
        <f>SUMIF('C1'!$B$6:$B$2228,B834,'C1'!$D$6:$D$2228)</f>
        <v>0</v>
      </c>
      <c r="F834" s="19">
        <f>SUMIF('C2'!$B$6:$B$2228,B834,'C2'!$D$6:$D$2228)</f>
        <v>0</v>
      </c>
      <c r="G834" s="19">
        <f>SUMIF('C3'!$B$6:$B$2228,B834,'C3'!$D$6:$D$2228)</f>
        <v>0</v>
      </c>
      <c r="H834" s="22"/>
      <c r="I834" s="22"/>
      <c r="J834" s="4" t="s">
        <v>851</v>
      </c>
      <c r="K834" s="4" t="s">
        <v>852</v>
      </c>
    </row>
    <row r="835" spans="2:11">
      <c r="B835" s="1">
        <v>51029</v>
      </c>
      <c r="C835" s="4" t="s">
        <v>881</v>
      </c>
      <c r="D835" s="19">
        <f t="shared" si="12"/>
        <v>0</v>
      </c>
      <c r="E835" s="19">
        <f>SUMIF('C1'!$B$6:$B$2228,B835,'C1'!$D$6:$D$2228)</f>
        <v>0</v>
      </c>
      <c r="F835" s="19">
        <f>SUMIF('C2'!$B$6:$B$2228,B835,'C2'!$D$6:$D$2228)</f>
        <v>0</v>
      </c>
      <c r="G835" s="19">
        <f>SUMIF('C3'!$B$6:$B$2228,B835,'C3'!$D$6:$D$2228)</f>
        <v>0</v>
      </c>
      <c r="H835" s="22"/>
      <c r="I835" s="22"/>
      <c r="J835" s="4" t="s">
        <v>851</v>
      </c>
      <c r="K835" s="4" t="s">
        <v>852</v>
      </c>
    </row>
    <row r="836" spans="2:11">
      <c r="B836" s="1">
        <v>51030</v>
      </c>
      <c r="C836" s="4" t="s">
        <v>882</v>
      </c>
      <c r="D836" s="19">
        <f t="shared" si="12"/>
        <v>0</v>
      </c>
      <c r="E836" s="19">
        <f>SUMIF('C1'!$B$6:$B$2228,B836,'C1'!$D$6:$D$2228)</f>
        <v>0</v>
      </c>
      <c r="F836" s="19">
        <f>SUMIF('C2'!$B$6:$B$2228,B836,'C2'!$D$6:$D$2228)</f>
        <v>0</v>
      </c>
      <c r="G836" s="19">
        <f>SUMIF('C3'!$B$6:$B$2228,B836,'C3'!$D$6:$D$2228)</f>
        <v>0</v>
      </c>
      <c r="H836" s="22"/>
      <c r="I836" s="22"/>
      <c r="J836" s="4" t="s">
        <v>851</v>
      </c>
      <c r="K836" s="4" t="s">
        <v>852</v>
      </c>
    </row>
    <row r="837" spans="2:11">
      <c r="B837" s="1">
        <v>51031</v>
      </c>
      <c r="C837" s="4" t="s">
        <v>883</v>
      </c>
      <c r="D837" s="19">
        <f t="shared" si="12"/>
        <v>0</v>
      </c>
      <c r="E837" s="19">
        <f>SUMIF('C1'!$B$6:$B$2228,B837,'C1'!$D$6:$D$2228)</f>
        <v>0</v>
      </c>
      <c r="F837" s="19">
        <f>SUMIF('C2'!$B$6:$B$2228,B837,'C2'!$D$6:$D$2228)</f>
        <v>0</v>
      </c>
      <c r="G837" s="19">
        <f>SUMIF('C3'!$B$6:$B$2228,B837,'C3'!$D$6:$D$2228)</f>
        <v>0</v>
      </c>
      <c r="H837" s="22"/>
      <c r="I837" s="22"/>
      <c r="J837" s="4" t="s">
        <v>851</v>
      </c>
      <c r="K837" s="4" t="s">
        <v>852</v>
      </c>
    </row>
    <row r="838" spans="2:11">
      <c r="B838" s="1">
        <v>51032</v>
      </c>
      <c r="C838" s="4" t="s">
        <v>884</v>
      </c>
      <c r="D838" s="19">
        <f t="shared" si="12"/>
        <v>0</v>
      </c>
      <c r="E838" s="19">
        <f>SUMIF('C1'!$B$6:$B$2228,B838,'C1'!$D$6:$D$2228)</f>
        <v>0</v>
      </c>
      <c r="F838" s="19">
        <f>SUMIF('C2'!$B$6:$B$2228,B838,'C2'!$D$6:$D$2228)</f>
        <v>0</v>
      </c>
      <c r="G838" s="19">
        <f>SUMIF('C3'!$B$6:$B$2228,B838,'C3'!$D$6:$D$2228)</f>
        <v>0</v>
      </c>
      <c r="H838" s="22"/>
      <c r="I838" s="22"/>
      <c r="J838" s="4" t="s">
        <v>851</v>
      </c>
      <c r="K838" s="4" t="s">
        <v>852</v>
      </c>
    </row>
    <row r="839" spans="2:11">
      <c r="B839" s="1">
        <v>51033</v>
      </c>
      <c r="C839" s="4" t="s">
        <v>885</v>
      </c>
      <c r="D839" s="19">
        <f t="shared" ref="D839:D902" si="13">SUM(E839:I839)</f>
        <v>0</v>
      </c>
      <c r="E839" s="19">
        <f>SUMIF('C1'!$B$6:$B$2228,B839,'C1'!$D$6:$D$2228)</f>
        <v>0</v>
      </c>
      <c r="F839" s="19">
        <f>SUMIF('C2'!$B$6:$B$2228,B839,'C2'!$D$6:$D$2228)</f>
        <v>0</v>
      </c>
      <c r="G839" s="19">
        <f>SUMIF('C3'!$B$6:$B$2228,B839,'C3'!$D$6:$D$2228)</f>
        <v>0</v>
      </c>
      <c r="H839" s="22"/>
      <c r="I839" s="22"/>
      <c r="J839" s="4" t="s">
        <v>851</v>
      </c>
      <c r="K839" s="4" t="s">
        <v>852</v>
      </c>
    </row>
    <row r="840" spans="2:11">
      <c r="B840" s="1">
        <v>51034</v>
      </c>
      <c r="C840" s="4" t="s">
        <v>886</v>
      </c>
      <c r="D840" s="19">
        <f t="shared" si="13"/>
        <v>0</v>
      </c>
      <c r="E840" s="19">
        <f>SUMIF('C1'!$B$6:$B$2228,B840,'C1'!$D$6:$D$2228)</f>
        <v>0</v>
      </c>
      <c r="F840" s="19">
        <f>SUMIF('C2'!$B$6:$B$2228,B840,'C2'!$D$6:$D$2228)</f>
        <v>0</v>
      </c>
      <c r="G840" s="19">
        <f>SUMIF('C3'!$B$6:$B$2228,B840,'C3'!$D$6:$D$2228)</f>
        <v>0</v>
      </c>
      <c r="H840" s="22"/>
      <c r="I840" s="22"/>
      <c r="J840" s="4" t="s">
        <v>851</v>
      </c>
      <c r="K840" s="4" t="s">
        <v>852</v>
      </c>
    </row>
    <row r="841" spans="2:11">
      <c r="B841" s="1">
        <v>51035</v>
      </c>
      <c r="C841" s="4" t="s">
        <v>887</v>
      </c>
      <c r="D841" s="19">
        <f t="shared" si="13"/>
        <v>0</v>
      </c>
      <c r="E841" s="19">
        <f>SUMIF('C1'!$B$6:$B$2228,B841,'C1'!$D$6:$D$2228)</f>
        <v>0</v>
      </c>
      <c r="F841" s="19">
        <f>SUMIF('C2'!$B$6:$B$2228,B841,'C2'!$D$6:$D$2228)</f>
        <v>0</v>
      </c>
      <c r="G841" s="19">
        <f>SUMIF('C3'!$B$6:$B$2228,B841,'C3'!$D$6:$D$2228)</f>
        <v>0</v>
      </c>
      <c r="H841" s="22"/>
      <c r="I841" s="22"/>
      <c r="J841" s="4" t="s">
        <v>851</v>
      </c>
      <c r="K841" s="4" t="s">
        <v>852</v>
      </c>
    </row>
    <row r="842" spans="2:11">
      <c r="B842" s="1">
        <v>51036</v>
      </c>
      <c r="C842" s="4" t="s">
        <v>888</v>
      </c>
      <c r="D842" s="19">
        <f t="shared" si="13"/>
        <v>0</v>
      </c>
      <c r="E842" s="19">
        <f>SUMIF('C1'!$B$6:$B$2228,B842,'C1'!$D$6:$D$2228)</f>
        <v>0</v>
      </c>
      <c r="F842" s="19">
        <f>SUMIF('C2'!$B$6:$B$2228,B842,'C2'!$D$6:$D$2228)</f>
        <v>0</v>
      </c>
      <c r="G842" s="19">
        <f>SUMIF('C3'!$B$6:$B$2228,B842,'C3'!$D$6:$D$2228)</f>
        <v>0</v>
      </c>
      <c r="H842" s="22"/>
      <c r="I842" s="22"/>
      <c r="J842" s="4" t="s">
        <v>851</v>
      </c>
      <c r="K842" s="4" t="s">
        <v>852</v>
      </c>
    </row>
    <row r="843" spans="2:11">
      <c r="B843" s="1">
        <v>51037</v>
      </c>
      <c r="C843" s="4" t="s">
        <v>889</v>
      </c>
      <c r="D843" s="19">
        <f t="shared" si="13"/>
        <v>0</v>
      </c>
      <c r="E843" s="19">
        <f>SUMIF('C1'!$B$6:$B$2228,B843,'C1'!$D$6:$D$2228)</f>
        <v>0</v>
      </c>
      <c r="F843" s="19">
        <f>SUMIF('C2'!$B$6:$B$2228,B843,'C2'!$D$6:$D$2228)</f>
        <v>0</v>
      </c>
      <c r="G843" s="19">
        <f>SUMIF('C3'!$B$6:$B$2228,B843,'C3'!$D$6:$D$2228)</f>
        <v>0</v>
      </c>
      <c r="H843" s="22"/>
      <c r="I843" s="22"/>
      <c r="J843" s="4" t="s">
        <v>851</v>
      </c>
      <c r="K843" s="4" t="s">
        <v>852</v>
      </c>
    </row>
    <row r="844" spans="2:11">
      <c r="B844" s="1">
        <v>51038</v>
      </c>
      <c r="C844" s="4" t="s">
        <v>890</v>
      </c>
      <c r="D844" s="19">
        <f t="shared" si="13"/>
        <v>0</v>
      </c>
      <c r="E844" s="19">
        <f>SUMIF('C1'!$B$6:$B$2228,B844,'C1'!$D$6:$D$2228)</f>
        <v>0</v>
      </c>
      <c r="F844" s="19">
        <f>SUMIF('C2'!$B$6:$B$2228,B844,'C2'!$D$6:$D$2228)</f>
        <v>0</v>
      </c>
      <c r="G844" s="19">
        <f>SUMIF('C3'!$B$6:$B$2228,B844,'C3'!$D$6:$D$2228)</f>
        <v>0</v>
      </c>
      <c r="H844" s="22"/>
      <c r="I844" s="22"/>
      <c r="J844" s="4" t="s">
        <v>851</v>
      </c>
      <c r="K844" s="4" t="s">
        <v>852</v>
      </c>
    </row>
    <row r="845" spans="2:11">
      <c r="B845" s="1">
        <v>51039</v>
      </c>
      <c r="C845" s="4" t="s">
        <v>891</v>
      </c>
      <c r="D845" s="19">
        <f t="shared" si="13"/>
        <v>0</v>
      </c>
      <c r="E845" s="19">
        <f>SUMIF('C1'!$B$6:$B$2228,B845,'C1'!$D$6:$D$2228)</f>
        <v>0</v>
      </c>
      <c r="F845" s="19">
        <f>SUMIF('C2'!$B$6:$B$2228,B845,'C2'!$D$6:$D$2228)</f>
        <v>0</v>
      </c>
      <c r="G845" s="19">
        <f>SUMIF('C3'!$B$6:$B$2228,B845,'C3'!$D$6:$D$2228)</f>
        <v>0</v>
      </c>
      <c r="H845" s="22"/>
      <c r="I845" s="22"/>
      <c r="J845" s="4" t="s">
        <v>851</v>
      </c>
      <c r="K845" s="4" t="s">
        <v>852</v>
      </c>
    </row>
    <row r="846" spans="2:11">
      <c r="B846" s="1">
        <v>51040</v>
      </c>
      <c r="C846" s="4" t="s">
        <v>892</v>
      </c>
      <c r="D846" s="19">
        <f t="shared" si="13"/>
        <v>0</v>
      </c>
      <c r="E846" s="19">
        <f>SUMIF('C1'!$B$6:$B$2228,B846,'C1'!$D$6:$D$2228)</f>
        <v>0</v>
      </c>
      <c r="F846" s="19">
        <f>SUMIF('C2'!$B$6:$B$2228,B846,'C2'!$D$6:$D$2228)</f>
        <v>0</v>
      </c>
      <c r="G846" s="19">
        <f>SUMIF('C3'!$B$6:$B$2228,B846,'C3'!$D$6:$D$2228)</f>
        <v>0</v>
      </c>
      <c r="H846" s="22"/>
      <c r="I846" s="22"/>
      <c r="J846" s="4" t="s">
        <v>851</v>
      </c>
      <c r="K846" s="4" t="s">
        <v>852</v>
      </c>
    </row>
    <row r="847" spans="2:11">
      <c r="B847" s="1">
        <v>51041</v>
      </c>
      <c r="C847" s="4" t="s">
        <v>893</v>
      </c>
      <c r="D847" s="19">
        <f t="shared" si="13"/>
        <v>0</v>
      </c>
      <c r="E847" s="19">
        <f>SUMIF('C1'!$B$6:$B$2228,B847,'C1'!$D$6:$D$2228)</f>
        <v>0</v>
      </c>
      <c r="F847" s="19">
        <f>SUMIF('C2'!$B$6:$B$2228,B847,'C2'!$D$6:$D$2228)</f>
        <v>0</v>
      </c>
      <c r="G847" s="19">
        <f>SUMIF('C3'!$B$6:$B$2228,B847,'C3'!$D$6:$D$2228)</f>
        <v>0</v>
      </c>
      <c r="H847" s="22"/>
      <c r="I847" s="22"/>
      <c r="J847" s="4" t="s">
        <v>851</v>
      </c>
      <c r="K847" s="4" t="s">
        <v>852</v>
      </c>
    </row>
    <row r="848" spans="2:11">
      <c r="B848" s="1">
        <v>51042</v>
      </c>
      <c r="C848" s="4" t="s">
        <v>894</v>
      </c>
      <c r="D848" s="19">
        <f t="shared" si="13"/>
        <v>0</v>
      </c>
      <c r="E848" s="19">
        <f>SUMIF('C1'!$B$6:$B$2228,B848,'C1'!$D$6:$D$2228)</f>
        <v>0</v>
      </c>
      <c r="F848" s="19">
        <f>SUMIF('C2'!$B$6:$B$2228,B848,'C2'!$D$6:$D$2228)</f>
        <v>0</v>
      </c>
      <c r="G848" s="19">
        <f>SUMIF('C3'!$B$6:$B$2228,B848,'C3'!$D$6:$D$2228)</f>
        <v>0</v>
      </c>
      <c r="H848" s="22"/>
      <c r="I848" s="22"/>
      <c r="J848" s="4" t="s">
        <v>851</v>
      </c>
      <c r="K848" s="4" t="s">
        <v>852</v>
      </c>
    </row>
    <row r="849" spans="2:11">
      <c r="B849" s="1">
        <v>51043</v>
      </c>
      <c r="C849" s="4" t="s">
        <v>895</v>
      </c>
      <c r="D849" s="19">
        <f t="shared" si="13"/>
        <v>0</v>
      </c>
      <c r="E849" s="19">
        <f>SUMIF('C1'!$B$6:$B$2228,B849,'C1'!$D$6:$D$2228)</f>
        <v>0</v>
      </c>
      <c r="F849" s="19">
        <f>SUMIF('C2'!$B$6:$B$2228,B849,'C2'!$D$6:$D$2228)</f>
        <v>0</v>
      </c>
      <c r="G849" s="19">
        <f>SUMIF('C3'!$B$6:$B$2228,B849,'C3'!$D$6:$D$2228)</f>
        <v>0</v>
      </c>
      <c r="H849" s="22"/>
      <c r="I849" s="22"/>
      <c r="J849" s="4" t="s">
        <v>851</v>
      </c>
      <c r="K849" s="4" t="s">
        <v>852</v>
      </c>
    </row>
    <row r="850" spans="2:11">
      <c r="B850" s="1">
        <v>51044</v>
      </c>
      <c r="C850" s="4" t="s">
        <v>896</v>
      </c>
      <c r="D850" s="19">
        <f t="shared" si="13"/>
        <v>0</v>
      </c>
      <c r="E850" s="19">
        <f>SUMIF('C1'!$B$6:$B$2228,B850,'C1'!$D$6:$D$2228)</f>
        <v>0</v>
      </c>
      <c r="F850" s="19">
        <f>SUMIF('C2'!$B$6:$B$2228,B850,'C2'!$D$6:$D$2228)</f>
        <v>0</v>
      </c>
      <c r="G850" s="19">
        <f>SUMIF('C3'!$B$6:$B$2228,B850,'C3'!$D$6:$D$2228)</f>
        <v>0</v>
      </c>
      <c r="H850" s="22"/>
      <c r="I850" s="22"/>
      <c r="J850" s="4" t="s">
        <v>851</v>
      </c>
      <c r="K850" s="4" t="s">
        <v>852</v>
      </c>
    </row>
    <row r="851" spans="2:11">
      <c r="B851" s="1">
        <v>51045</v>
      </c>
      <c r="C851" s="4" t="s">
        <v>897</v>
      </c>
      <c r="D851" s="19">
        <f t="shared" si="13"/>
        <v>0</v>
      </c>
      <c r="E851" s="19">
        <f>SUMIF('C1'!$B$6:$B$2228,B851,'C1'!$D$6:$D$2228)</f>
        <v>0</v>
      </c>
      <c r="F851" s="19">
        <f>SUMIF('C2'!$B$6:$B$2228,B851,'C2'!$D$6:$D$2228)</f>
        <v>0</v>
      </c>
      <c r="G851" s="19">
        <f>SUMIF('C3'!$B$6:$B$2228,B851,'C3'!$D$6:$D$2228)</f>
        <v>0</v>
      </c>
      <c r="H851" s="22"/>
      <c r="I851" s="22"/>
      <c r="J851" s="4" t="s">
        <v>851</v>
      </c>
      <c r="K851" s="4" t="s">
        <v>852</v>
      </c>
    </row>
    <row r="852" spans="2:11">
      <c r="B852" s="1">
        <v>51046</v>
      </c>
      <c r="C852" s="4" t="s">
        <v>898</v>
      </c>
      <c r="D852" s="19">
        <f t="shared" si="13"/>
        <v>0</v>
      </c>
      <c r="E852" s="19">
        <f>SUMIF('C1'!$B$6:$B$2228,B852,'C1'!$D$6:$D$2228)</f>
        <v>0</v>
      </c>
      <c r="F852" s="19">
        <f>SUMIF('C2'!$B$6:$B$2228,B852,'C2'!$D$6:$D$2228)</f>
        <v>0</v>
      </c>
      <c r="G852" s="19">
        <f>SUMIF('C3'!$B$6:$B$2228,B852,'C3'!$D$6:$D$2228)</f>
        <v>0</v>
      </c>
      <c r="H852" s="22"/>
      <c r="I852" s="22"/>
      <c r="J852" s="4" t="s">
        <v>851</v>
      </c>
      <c r="K852" s="4" t="s">
        <v>852</v>
      </c>
    </row>
    <row r="853" spans="2:11">
      <c r="B853" s="1">
        <v>51047</v>
      </c>
      <c r="C853" s="4" t="s">
        <v>899</v>
      </c>
      <c r="D853" s="19">
        <f t="shared" si="13"/>
        <v>0</v>
      </c>
      <c r="E853" s="19">
        <f>SUMIF('C1'!$B$6:$B$2228,B853,'C1'!$D$6:$D$2228)</f>
        <v>0</v>
      </c>
      <c r="F853" s="19">
        <f>SUMIF('C2'!$B$6:$B$2228,B853,'C2'!$D$6:$D$2228)</f>
        <v>0</v>
      </c>
      <c r="G853" s="19">
        <f>SUMIF('C3'!$B$6:$B$2228,B853,'C3'!$D$6:$D$2228)</f>
        <v>0</v>
      </c>
      <c r="H853" s="22"/>
      <c r="I853" s="22"/>
      <c r="J853" s="4" t="s">
        <v>851</v>
      </c>
      <c r="K853" s="4" t="s">
        <v>852</v>
      </c>
    </row>
    <row r="854" spans="2:11">
      <c r="B854" s="1">
        <v>51048</v>
      </c>
      <c r="C854" s="4" t="s">
        <v>900</v>
      </c>
      <c r="D854" s="19">
        <f t="shared" si="13"/>
        <v>0</v>
      </c>
      <c r="E854" s="19">
        <f>SUMIF('C1'!$B$6:$B$2228,B854,'C1'!$D$6:$D$2228)</f>
        <v>0</v>
      </c>
      <c r="F854" s="19">
        <f>SUMIF('C2'!$B$6:$B$2228,B854,'C2'!$D$6:$D$2228)</f>
        <v>0</v>
      </c>
      <c r="G854" s="19">
        <f>SUMIF('C3'!$B$6:$B$2228,B854,'C3'!$D$6:$D$2228)</f>
        <v>0</v>
      </c>
      <c r="H854" s="22"/>
      <c r="I854" s="22"/>
      <c r="J854" s="4" t="s">
        <v>851</v>
      </c>
      <c r="K854" s="4" t="s">
        <v>852</v>
      </c>
    </row>
    <row r="855" spans="2:11">
      <c r="B855" s="1">
        <v>51049</v>
      </c>
      <c r="C855" s="4" t="s">
        <v>901</v>
      </c>
      <c r="D855" s="19">
        <f t="shared" si="13"/>
        <v>0</v>
      </c>
      <c r="E855" s="19">
        <f>SUMIF('C1'!$B$6:$B$2228,B855,'C1'!$D$6:$D$2228)</f>
        <v>0</v>
      </c>
      <c r="F855" s="19">
        <f>SUMIF('C2'!$B$6:$B$2228,B855,'C2'!$D$6:$D$2228)</f>
        <v>0</v>
      </c>
      <c r="G855" s="19">
        <f>SUMIF('C3'!$B$6:$B$2228,B855,'C3'!$D$6:$D$2228)</f>
        <v>0</v>
      </c>
      <c r="H855" s="22"/>
      <c r="I855" s="22"/>
      <c r="J855" s="4" t="s">
        <v>851</v>
      </c>
      <c r="K855" s="4" t="s">
        <v>852</v>
      </c>
    </row>
    <row r="856" spans="2:11">
      <c r="B856" s="1">
        <v>51050</v>
      </c>
      <c r="C856" s="4" t="s">
        <v>902</v>
      </c>
      <c r="D856" s="19">
        <f t="shared" si="13"/>
        <v>0</v>
      </c>
      <c r="E856" s="19">
        <f>SUMIF('C1'!$B$6:$B$2228,B856,'C1'!$D$6:$D$2228)</f>
        <v>0</v>
      </c>
      <c r="F856" s="19">
        <f>SUMIF('C2'!$B$6:$B$2228,B856,'C2'!$D$6:$D$2228)</f>
        <v>0</v>
      </c>
      <c r="G856" s="19">
        <f>SUMIF('C3'!$B$6:$B$2228,B856,'C3'!$D$6:$D$2228)</f>
        <v>0</v>
      </c>
      <c r="H856" s="22"/>
      <c r="I856" s="22"/>
      <c r="J856" s="4" t="s">
        <v>851</v>
      </c>
      <c r="K856" s="4" t="s">
        <v>852</v>
      </c>
    </row>
    <row r="857" spans="2:11">
      <c r="B857" s="1">
        <v>51051</v>
      </c>
      <c r="C857" s="4" t="s">
        <v>903</v>
      </c>
      <c r="D857" s="19">
        <f t="shared" si="13"/>
        <v>0</v>
      </c>
      <c r="E857" s="19">
        <f>SUMIF('C1'!$B$6:$B$2228,B857,'C1'!$D$6:$D$2228)</f>
        <v>0</v>
      </c>
      <c r="F857" s="19">
        <f>SUMIF('C2'!$B$6:$B$2228,B857,'C2'!$D$6:$D$2228)</f>
        <v>0</v>
      </c>
      <c r="G857" s="19">
        <f>SUMIF('C3'!$B$6:$B$2228,B857,'C3'!$D$6:$D$2228)</f>
        <v>0</v>
      </c>
      <c r="H857" s="22"/>
      <c r="I857" s="22"/>
      <c r="J857" s="4" t="s">
        <v>851</v>
      </c>
      <c r="K857" s="4" t="s">
        <v>852</v>
      </c>
    </row>
    <row r="858" spans="2:11">
      <c r="B858" s="1">
        <v>51052</v>
      </c>
      <c r="C858" s="4" t="s">
        <v>904</v>
      </c>
      <c r="D858" s="19">
        <f t="shared" si="13"/>
        <v>0</v>
      </c>
      <c r="E858" s="19">
        <f>SUMIF('C1'!$B$6:$B$2228,B858,'C1'!$D$6:$D$2228)</f>
        <v>0</v>
      </c>
      <c r="F858" s="19">
        <f>SUMIF('C2'!$B$6:$B$2228,B858,'C2'!$D$6:$D$2228)</f>
        <v>0</v>
      </c>
      <c r="G858" s="19">
        <f>SUMIF('C3'!$B$6:$B$2228,B858,'C3'!$D$6:$D$2228)</f>
        <v>0</v>
      </c>
      <c r="H858" s="22"/>
      <c r="I858" s="22"/>
      <c r="J858" s="4" t="s">
        <v>851</v>
      </c>
      <c r="K858" s="4" t="s">
        <v>852</v>
      </c>
    </row>
    <row r="859" spans="2:11">
      <c r="B859" s="1">
        <v>51053</v>
      </c>
      <c r="C859" s="4" t="s">
        <v>905</v>
      </c>
      <c r="D859" s="19">
        <f t="shared" si="13"/>
        <v>0</v>
      </c>
      <c r="E859" s="19">
        <f>SUMIF('C1'!$B$6:$B$2228,B859,'C1'!$D$6:$D$2228)</f>
        <v>0</v>
      </c>
      <c r="F859" s="19">
        <f>SUMIF('C2'!$B$6:$B$2228,B859,'C2'!$D$6:$D$2228)</f>
        <v>0</v>
      </c>
      <c r="G859" s="19">
        <f>SUMIF('C3'!$B$6:$B$2228,B859,'C3'!$D$6:$D$2228)</f>
        <v>0</v>
      </c>
      <c r="H859" s="22"/>
      <c r="I859" s="22"/>
      <c r="J859" s="4" t="s">
        <v>851</v>
      </c>
      <c r="K859" s="4" t="s">
        <v>852</v>
      </c>
    </row>
    <row r="860" spans="2:11">
      <c r="B860" s="1">
        <v>51054</v>
      </c>
      <c r="C860" s="4" t="s">
        <v>906</v>
      </c>
      <c r="D860" s="19">
        <f t="shared" si="13"/>
        <v>0</v>
      </c>
      <c r="E860" s="19">
        <f>SUMIF('C1'!$B$6:$B$2228,B860,'C1'!$D$6:$D$2228)</f>
        <v>0</v>
      </c>
      <c r="F860" s="19">
        <f>SUMIF('C2'!$B$6:$B$2228,B860,'C2'!$D$6:$D$2228)</f>
        <v>0</v>
      </c>
      <c r="G860" s="19">
        <f>SUMIF('C3'!$B$6:$B$2228,B860,'C3'!$D$6:$D$2228)</f>
        <v>0</v>
      </c>
      <c r="H860" s="22"/>
      <c r="I860" s="22"/>
      <c r="J860" s="4" t="s">
        <v>851</v>
      </c>
      <c r="K860" s="4" t="s">
        <v>852</v>
      </c>
    </row>
    <row r="861" spans="2:11">
      <c r="B861" s="1">
        <v>51055</v>
      </c>
      <c r="C861" s="4" t="s">
        <v>907</v>
      </c>
      <c r="D861" s="19">
        <f t="shared" si="13"/>
        <v>0</v>
      </c>
      <c r="E861" s="19">
        <f>SUMIF('C1'!$B$6:$B$2228,B861,'C1'!$D$6:$D$2228)</f>
        <v>0</v>
      </c>
      <c r="F861" s="19">
        <f>SUMIF('C2'!$B$6:$B$2228,B861,'C2'!$D$6:$D$2228)</f>
        <v>0</v>
      </c>
      <c r="G861" s="19">
        <f>SUMIF('C3'!$B$6:$B$2228,B861,'C3'!$D$6:$D$2228)</f>
        <v>0</v>
      </c>
      <c r="H861" s="22"/>
      <c r="I861" s="22"/>
      <c r="J861" s="4" t="s">
        <v>851</v>
      </c>
      <c r="K861" s="4" t="s">
        <v>852</v>
      </c>
    </row>
    <row r="862" spans="2:11">
      <c r="B862" s="1">
        <v>51056</v>
      </c>
      <c r="C862" s="4" t="s">
        <v>908</v>
      </c>
      <c r="D862" s="19">
        <f t="shared" si="13"/>
        <v>0</v>
      </c>
      <c r="E862" s="19">
        <f>SUMIF('C1'!$B$6:$B$2228,B862,'C1'!$D$6:$D$2228)</f>
        <v>0</v>
      </c>
      <c r="F862" s="19">
        <f>SUMIF('C2'!$B$6:$B$2228,B862,'C2'!$D$6:$D$2228)</f>
        <v>0</v>
      </c>
      <c r="G862" s="19">
        <f>SUMIF('C3'!$B$6:$B$2228,B862,'C3'!$D$6:$D$2228)</f>
        <v>0</v>
      </c>
      <c r="H862" s="22"/>
      <c r="I862" s="22"/>
      <c r="J862" s="4" t="s">
        <v>851</v>
      </c>
      <c r="K862" s="4" t="s">
        <v>852</v>
      </c>
    </row>
    <row r="863" spans="2:11">
      <c r="B863" s="1">
        <v>51057</v>
      </c>
      <c r="C863" s="4" t="s">
        <v>909</v>
      </c>
      <c r="D863" s="19">
        <f t="shared" si="13"/>
        <v>0</v>
      </c>
      <c r="E863" s="19">
        <f>SUMIF('C1'!$B$6:$B$2228,B863,'C1'!$D$6:$D$2228)</f>
        <v>0</v>
      </c>
      <c r="F863" s="19">
        <f>SUMIF('C2'!$B$6:$B$2228,B863,'C2'!$D$6:$D$2228)</f>
        <v>0</v>
      </c>
      <c r="G863" s="19">
        <f>SUMIF('C3'!$B$6:$B$2228,B863,'C3'!$D$6:$D$2228)</f>
        <v>0</v>
      </c>
      <c r="H863" s="22"/>
      <c r="I863" s="22"/>
      <c r="J863" s="4" t="s">
        <v>851</v>
      </c>
      <c r="K863" s="4" t="s">
        <v>852</v>
      </c>
    </row>
    <row r="864" spans="2:11">
      <c r="B864" s="1">
        <v>51058</v>
      </c>
      <c r="C864" s="4" t="s">
        <v>910</v>
      </c>
      <c r="D864" s="19">
        <f t="shared" si="13"/>
        <v>0</v>
      </c>
      <c r="E864" s="19">
        <f>SUMIF('C1'!$B$6:$B$2228,B864,'C1'!$D$6:$D$2228)</f>
        <v>0</v>
      </c>
      <c r="F864" s="19">
        <f>SUMIF('C2'!$B$6:$B$2228,B864,'C2'!$D$6:$D$2228)</f>
        <v>0</v>
      </c>
      <c r="G864" s="19">
        <f>SUMIF('C3'!$B$6:$B$2228,B864,'C3'!$D$6:$D$2228)</f>
        <v>0</v>
      </c>
      <c r="H864" s="22"/>
      <c r="I864" s="22"/>
      <c r="J864" s="4" t="s">
        <v>851</v>
      </c>
      <c r="K864" s="4" t="s">
        <v>852</v>
      </c>
    </row>
    <row r="865" spans="2:11">
      <c r="B865" s="1">
        <v>51059</v>
      </c>
      <c r="C865" s="4" t="s">
        <v>911</v>
      </c>
      <c r="D865" s="19">
        <f t="shared" si="13"/>
        <v>0</v>
      </c>
      <c r="E865" s="19">
        <f>SUMIF('C1'!$B$6:$B$2228,B865,'C1'!$D$6:$D$2228)</f>
        <v>0</v>
      </c>
      <c r="F865" s="19">
        <f>SUMIF('C2'!$B$6:$B$2228,B865,'C2'!$D$6:$D$2228)</f>
        <v>0</v>
      </c>
      <c r="G865" s="19">
        <f>SUMIF('C3'!$B$6:$B$2228,B865,'C3'!$D$6:$D$2228)</f>
        <v>0</v>
      </c>
      <c r="H865" s="22"/>
      <c r="I865" s="22"/>
      <c r="J865" s="4" t="s">
        <v>851</v>
      </c>
      <c r="K865" s="4" t="s">
        <v>852</v>
      </c>
    </row>
    <row r="866" spans="2:11">
      <c r="B866" s="1">
        <v>51060</v>
      </c>
      <c r="C866" s="4" t="s">
        <v>912</v>
      </c>
      <c r="D866" s="19">
        <f t="shared" si="13"/>
        <v>0</v>
      </c>
      <c r="E866" s="19">
        <f>SUMIF('C1'!$B$6:$B$2228,B866,'C1'!$D$6:$D$2228)</f>
        <v>0</v>
      </c>
      <c r="F866" s="19">
        <f>SUMIF('C2'!$B$6:$B$2228,B866,'C2'!$D$6:$D$2228)</f>
        <v>0</v>
      </c>
      <c r="G866" s="19">
        <f>SUMIF('C3'!$B$6:$B$2228,B866,'C3'!$D$6:$D$2228)</f>
        <v>0</v>
      </c>
      <c r="H866" s="22"/>
      <c r="I866" s="22"/>
      <c r="J866" s="4" t="s">
        <v>851</v>
      </c>
      <c r="K866" s="4" t="s">
        <v>852</v>
      </c>
    </row>
    <row r="867" spans="2:11">
      <c r="B867" s="1">
        <v>51061</v>
      </c>
      <c r="C867" s="4" t="s">
        <v>913</v>
      </c>
      <c r="D867" s="19">
        <f t="shared" si="13"/>
        <v>0</v>
      </c>
      <c r="E867" s="19">
        <f>SUMIF('C1'!$B$6:$B$2228,B867,'C1'!$D$6:$D$2228)</f>
        <v>0</v>
      </c>
      <c r="F867" s="19">
        <f>SUMIF('C2'!$B$6:$B$2228,B867,'C2'!$D$6:$D$2228)</f>
        <v>0</v>
      </c>
      <c r="G867" s="19">
        <f>SUMIF('C3'!$B$6:$B$2228,B867,'C3'!$D$6:$D$2228)</f>
        <v>0</v>
      </c>
      <c r="H867" s="22"/>
      <c r="I867" s="22"/>
      <c r="J867" s="4" t="s">
        <v>851</v>
      </c>
      <c r="K867" s="4" t="s">
        <v>852</v>
      </c>
    </row>
    <row r="868" spans="2:11">
      <c r="B868" s="1">
        <v>51062</v>
      </c>
      <c r="C868" s="4" t="s">
        <v>914</v>
      </c>
      <c r="D868" s="19">
        <f t="shared" si="13"/>
        <v>0</v>
      </c>
      <c r="E868" s="19">
        <f>SUMIF('C1'!$B$6:$B$2228,B868,'C1'!$D$6:$D$2228)</f>
        <v>0</v>
      </c>
      <c r="F868" s="19">
        <f>SUMIF('C2'!$B$6:$B$2228,B868,'C2'!$D$6:$D$2228)</f>
        <v>0</v>
      </c>
      <c r="G868" s="19">
        <f>SUMIF('C3'!$B$6:$B$2228,B868,'C3'!$D$6:$D$2228)</f>
        <v>0</v>
      </c>
      <c r="H868" s="22"/>
      <c r="I868" s="22"/>
      <c r="J868" s="4" t="s">
        <v>851</v>
      </c>
      <c r="K868" s="4" t="s">
        <v>852</v>
      </c>
    </row>
    <row r="869" spans="2:11">
      <c r="B869" s="1">
        <v>51063</v>
      </c>
      <c r="C869" s="4" t="s">
        <v>915</v>
      </c>
      <c r="D869" s="19">
        <f t="shared" si="13"/>
        <v>0</v>
      </c>
      <c r="E869" s="19">
        <f>SUMIF('C1'!$B$6:$B$2228,B869,'C1'!$D$6:$D$2228)</f>
        <v>0</v>
      </c>
      <c r="F869" s="19">
        <f>SUMIF('C2'!$B$6:$B$2228,B869,'C2'!$D$6:$D$2228)</f>
        <v>0</v>
      </c>
      <c r="G869" s="19">
        <f>SUMIF('C3'!$B$6:$B$2228,B869,'C3'!$D$6:$D$2228)</f>
        <v>0</v>
      </c>
      <c r="H869" s="22"/>
      <c r="I869" s="22"/>
      <c r="J869" s="4" t="s">
        <v>851</v>
      </c>
      <c r="K869" s="4" t="s">
        <v>852</v>
      </c>
    </row>
    <row r="870" spans="2:11">
      <c r="B870" s="1">
        <v>51064</v>
      </c>
      <c r="C870" s="4" t="s">
        <v>916</v>
      </c>
      <c r="D870" s="19">
        <f t="shared" si="13"/>
        <v>0</v>
      </c>
      <c r="E870" s="19">
        <f>SUMIF('C1'!$B$6:$B$2228,B870,'C1'!$D$6:$D$2228)</f>
        <v>0</v>
      </c>
      <c r="F870" s="19">
        <f>SUMIF('C2'!$B$6:$B$2228,B870,'C2'!$D$6:$D$2228)</f>
        <v>0</v>
      </c>
      <c r="G870" s="19">
        <f>SUMIF('C3'!$B$6:$B$2228,B870,'C3'!$D$6:$D$2228)</f>
        <v>0</v>
      </c>
      <c r="H870" s="22"/>
      <c r="I870" s="22"/>
      <c r="J870" s="4" t="s">
        <v>851</v>
      </c>
      <c r="K870" s="4" t="s">
        <v>852</v>
      </c>
    </row>
    <row r="871" spans="2:11">
      <c r="B871" s="1">
        <v>51065</v>
      </c>
      <c r="C871" s="4" t="s">
        <v>917</v>
      </c>
      <c r="D871" s="19">
        <f t="shared" si="13"/>
        <v>0</v>
      </c>
      <c r="E871" s="19">
        <f>SUMIF('C1'!$B$6:$B$2228,B871,'C1'!$D$6:$D$2228)</f>
        <v>0</v>
      </c>
      <c r="F871" s="19">
        <f>SUMIF('C2'!$B$6:$B$2228,B871,'C2'!$D$6:$D$2228)</f>
        <v>0</v>
      </c>
      <c r="G871" s="19">
        <f>SUMIF('C3'!$B$6:$B$2228,B871,'C3'!$D$6:$D$2228)</f>
        <v>0</v>
      </c>
      <c r="H871" s="22"/>
      <c r="I871" s="22"/>
      <c r="J871" s="4" t="s">
        <v>851</v>
      </c>
      <c r="K871" s="4" t="s">
        <v>852</v>
      </c>
    </row>
    <row r="872" spans="2:11">
      <c r="B872" s="1">
        <v>51066</v>
      </c>
      <c r="C872" s="4" t="s">
        <v>918</v>
      </c>
      <c r="D872" s="19">
        <f t="shared" si="13"/>
        <v>0</v>
      </c>
      <c r="E872" s="19">
        <f>SUMIF('C1'!$B$6:$B$2228,B872,'C1'!$D$6:$D$2228)</f>
        <v>0</v>
      </c>
      <c r="F872" s="19">
        <f>SUMIF('C2'!$B$6:$B$2228,B872,'C2'!$D$6:$D$2228)</f>
        <v>0</v>
      </c>
      <c r="G872" s="19">
        <f>SUMIF('C3'!$B$6:$B$2228,B872,'C3'!$D$6:$D$2228)</f>
        <v>0</v>
      </c>
      <c r="H872" s="22"/>
      <c r="I872" s="22"/>
      <c r="J872" s="4" t="s">
        <v>851</v>
      </c>
      <c r="K872" s="4" t="s">
        <v>852</v>
      </c>
    </row>
    <row r="873" spans="2:11">
      <c r="B873" s="1">
        <v>51067</v>
      </c>
      <c r="C873" s="4" t="s">
        <v>919</v>
      </c>
      <c r="D873" s="19">
        <f t="shared" si="13"/>
        <v>0</v>
      </c>
      <c r="E873" s="19">
        <f>SUMIF('C1'!$B$6:$B$2228,B873,'C1'!$D$6:$D$2228)</f>
        <v>0</v>
      </c>
      <c r="F873" s="19">
        <f>SUMIF('C2'!$B$6:$B$2228,B873,'C2'!$D$6:$D$2228)</f>
        <v>0</v>
      </c>
      <c r="G873" s="19">
        <f>SUMIF('C3'!$B$6:$B$2228,B873,'C3'!$D$6:$D$2228)</f>
        <v>0</v>
      </c>
      <c r="H873" s="22"/>
      <c r="I873" s="22"/>
      <c r="J873" s="4" t="s">
        <v>851</v>
      </c>
      <c r="K873" s="4" t="s">
        <v>852</v>
      </c>
    </row>
    <row r="874" spans="2:11">
      <c r="B874" s="1">
        <v>51068</v>
      </c>
      <c r="C874" s="4" t="s">
        <v>920</v>
      </c>
      <c r="D874" s="19">
        <f t="shared" si="13"/>
        <v>0</v>
      </c>
      <c r="E874" s="19">
        <f>SUMIF('C1'!$B$6:$B$2228,B874,'C1'!$D$6:$D$2228)</f>
        <v>0</v>
      </c>
      <c r="F874" s="19">
        <f>SUMIF('C2'!$B$6:$B$2228,B874,'C2'!$D$6:$D$2228)</f>
        <v>0</v>
      </c>
      <c r="G874" s="19">
        <f>SUMIF('C3'!$B$6:$B$2228,B874,'C3'!$D$6:$D$2228)</f>
        <v>0</v>
      </c>
      <c r="H874" s="22"/>
      <c r="I874" s="22"/>
      <c r="J874" s="4" t="s">
        <v>851</v>
      </c>
      <c r="K874" s="4" t="s">
        <v>852</v>
      </c>
    </row>
    <row r="875" spans="2:11">
      <c r="B875" s="1">
        <v>51069</v>
      </c>
      <c r="C875" s="4" t="s">
        <v>921</v>
      </c>
      <c r="D875" s="19">
        <f t="shared" si="13"/>
        <v>0</v>
      </c>
      <c r="E875" s="19">
        <f>SUMIF('C1'!$B$6:$B$2228,B875,'C1'!$D$6:$D$2228)</f>
        <v>0</v>
      </c>
      <c r="F875" s="19">
        <f>SUMIF('C2'!$B$6:$B$2228,B875,'C2'!$D$6:$D$2228)</f>
        <v>0</v>
      </c>
      <c r="G875" s="19">
        <f>SUMIF('C3'!$B$6:$B$2228,B875,'C3'!$D$6:$D$2228)</f>
        <v>0</v>
      </c>
      <c r="H875" s="22"/>
      <c r="I875" s="22"/>
      <c r="J875" s="4" t="s">
        <v>851</v>
      </c>
      <c r="K875" s="4" t="s">
        <v>852</v>
      </c>
    </row>
    <row r="876" spans="2:11">
      <c r="B876" s="1">
        <v>51070</v>
      </c>
      <c r="C876" s="4" t="s">
        <v>922</v>
      </c>
      <c r="D876" s="19">
        <f t="shared" si="13"/>
        <v>0</v>
      </c>
      <c r="E876" s="19">
        <f>SUMIF('C1'!$B$6:$B$2228,B876,'C1'!$D$6:$D$2228)</f>
        <v>0</v>
      </c>
      <c r="F876" s="19">
        <f>SUMIF('C2'!$B$6:$B$2228,B876,'C2'!$D$6:$D$2228)</f>
        <v>0</v>
      </c>
      <c r="G876" s="19">
        <f>SUMIF('C3'!$B$6:$B$2228,B876,'C3'!$D$6:$D$2228)</f>
        <v>0</v>
      </c>
      <c r="H876" s="22"/>
      <c r="I876" s="22"/>
      <c r="J876" s="4" t="s">
        <v>851</v>
      </c>
      <c r="K876" s="4" t="s">
        <v>852</v>
      </c>
    </row>
    <row r="877" spans="2:11">
      <c r="B877" s="1">
        <v>51071</v>
      </c>
      <c r="C877" s="4" t="s">
        <v>923</v>
      </c>
      <c r="D877" s="19">
        <f t="shared" si="13"/>
        <v>0</v>
      </c>
      <c r="E877" s="19">
        <f>SUMIF('C1'!$B$6:$B$2228,B877,'C1'!$D$6:$D$2228)</f>
        <v>0</v>
      </c>
      <c r="F877" s="19">
        <f>SUMIF('C2'!$B$6:$B$2228,B877,'C2'!$D$6:$D$2228)</f>
        <v>0</v>
      </c>
      <c r="G877" s="19">
        <f>SUMIF('C3'!$B$6:$B$2228,B877,'C3'!$D$6:$D$2228)</f>
        <v>0</v>
      </c>
      <c r="H877" s="22"/>
      <c r="I877" s="22"/>
      <c r="J877" s="4" t="s">
        <v>851</v>
      </c>
      <c r="K877" s="4" t="s">
        <v>855</v>
      </c>
    </row>
    <row r="878" spans="2:11">
      <c r="B878" s="1">
        <v>51072</v>
      </c>
      <c r="C878" s="4" t="s">
        <v>924</v>
      </c>
      <c r="D878" s="19">
        <f t="shared" si="13"/>
        <v>0</v>
      </c>
      <c r="E878" s="19">
        <f>SUMIF('C1'!$B$6:$B$2228,B878,'C1'!$D$6:$D$2228)</f>
        <v>0</v>
      </c>
      <c r="F878" s="19">
        <f>SUMIF('C2'!$B$6:$B$2228,B878,'C2'!$D$6:$D$2228)</f>
        <v>0</v>
      </c>
      <c r="G878" s="19">
        <f>SUMIF('C3'!$B$6:$B$2228,B878,'C3'!$D$6:$D$2228)</f>
        <v>0</v>
      </c>
      <c r="H878" s="22"/>
      <c r="I878" s="22"/>
      <c r="J878" s="4" t="s">
        <v>851</v>
      </c>
      <c r="K878" s="4" t="s">
        <v>855</v>
      </c>
    </row>
    <row r="879" spans="2:11">
      <c r="B879" s="1">
        <v>51073</v>
      </c>
      <c r="C879" s="4" t="s">
        <v>925</v>
      </c>
      <c r="D879" s="19">
        <f t="shared" si="13"/>
        <v>0</v>
      </c>
      <c r="E879" s="19">
        <f>SUMIF('C1'!$B$6:$B$2228,B879,'C1'!$D$6:$D$2228)</f>
        <v>0</v>
      </c>
      <c r="F879" s="19">
        <f>SUMIF('C2'!$B$6:$B$2228,B879,'C2'!$D$6:$D$2228)</f>
        <v>0</v>
      </c>
      <c r="G879" s="19">
        <f>SUMIF('C3'!$B$6:$B$2228,B879,'C3'!$D$6:$D$2228)</f>
        <v>0</v>
      </c>
      <c r="H879" s="22"/>
      <c r="I879" s="22"/>
      <c r="J879" s="4" t="s">
        <v>851</v>
      </c>
      <c r="K879" s="4" t="s">
        <v>855</v>
      </c>
    </row>
    <row r="880" spans="2:11">
      <c r="B880" s="1">
        <v>51074</v>
      </c>
      <c r="C880" s="4" t="s">
        <v>926</v>
      </c>
      <c r="D880" s="19">
        <f t="shared" si="13"/>
        <v>0</v>
      </c>
      <c r="E880" s="19">
        <f>SUMIF('C1'!$B$6:$B$2228,B880,'C1'!$D$6:$D$2228)</f>
        <v>0</v>
      </c>
      <c r="F880" s="19">
        <f>SUMIF('C2'!$B$6:$B$2228,B880,'C2'!$D$6:$D$2228)</f>
        <v>0</v>
      </c>
      <c r="G880" s="19">
        <f>SUMIF('C3'!$B$6:$B$2228,B880,'C3'!$D$6:$D$2228)</f>
        <v>0</v>
      </c>
      <c r="H880" s="22"/>
      <c r="I880" s="22"/>
      <c r="J880" s="4" t="s">
        <v>851</v>
      </c>
      <c r="K880" s="4" t="s">
        <v>855</v>
      </c>
    </row>
    <row r="881" spans="2:11">
      <c r="B881" s="1">
        <v>51075</v>
      </c>
      <c r="C881" s="4" t="s">
        <v>927</v>
      </c>
      <c r="D881" s="19">
        <f t="shared" si="13"/>
        <v>0</v>
      </c>
      <c r="E881" s="19">
        <f>SUMIF('C1'!$B$6:$B$2228,B881,'C1'!$D$6:$D$2228)</f>
        <v>0</v>
      </c>
      <c r="F881" s="19">
        <f>SUMIF('C2'!$B$6:$B$2228,B881,'C2'!$D$6:$D$2228)</f>
        <v>0</v>
      </c>
      <c r="G881" s="19">
        <f>SUMIF('C3'!$B$6:$B$2228,B881,'C3'!$D$6:$D$2228)</f>
        <v>0</v>
      </c>
      <c r="H881" s="22"/>
      <c r="I881" s="22"/>
      <c r="J881" s="4" t="s">
        <v>851</v>
      </c>
      <c r="K881" s="4" t="s">
        <v>855</v>
      </c>
    </row>
    <row r="882" spans="2:11">
      <c r="B882" s="1">
        <v>51076</v>
      </c>
      <c r="C882" s="4" t="s">
        <v>928</v>
      </c>
      <c r="D882" s="19">
        <f t="shared" si="13"/>
        <v>0</v>
      </c>
      <c r="E882" s="19">
        <f>SUMIF('C1'!$B$6:$B$2228,B882,'C1'!$D$6:$D$2228)</f>
        <v>0</v>
      </c>
      <c r="F882" s="19">
        <f>SUMIF('C2'!$B$6:$B$2228,B882,'C2'!$D$6:$D$2228)</f>
        <v>0</v>
      </c>
      <c r="G882" s="19">
        <f>SUMIF('C3'!$B$6:$B$2228,B882,'C3'!$D$6:$D$2228)</f>
        <v>0</v>
      </c>
      <c r="H882" s="22"/>
      <c r="I882" s="22"/>
      <c r="J882" s="4" t="s">
        <v>851</v>
      </c>
      <c r="K882" s="4" t="s">
        <v>855</v>
      </c>
    </row>
    <row r="883" spans="2:11">
      <c r="B883" s="1">
        <v>51077</v>
      </c>
      <c r="C883" s="4" t="s">
        <v>929</v>
      </c>
      <c r="D883" s="19">
        <f t="shared" si="13"/>
        <v>0</v>
      </c>
      <c r="E883" s="19">
        <f>SUMIF('C1'!$B$6:$B$2228,B883,'C1'!$D$6:$D$2228)</f>
        <v>0</v>
      </c>
      <c r="F883" s="19">
        <f>SUMIF('C2'!$B$6:$B$2228,B883,'C2'!$D$6:$D$2228)</f>
        <v>0</v>
      </c>
      <c r="G883" s="19">
        <f>SUMIF('C3'!$B$6:$B$2228,B883,'C3'!$D$6:$D$2228)</f>
        <v>0</v>
      </c>
      <c r="H883" s="22"/>
      <c r="I883" s="22"/>
      <c r="J883" s="4" t="s">
        <v>851</v>
      </c>
      <c r="K883" s="4" t="s">
        <v>855</v>
      </c>
    </row>
    <row r="884" spans="2:11">
      <c r="B884" s="1">
        <v>51078</v>
      </c>
      <c r="C884" s="4" t="s">
        <v>930</v>
      </c>
      <c r="D884" s="19">
        <f t="shared" si="13"/>
        <v>0</v>
      </c>
      <c r="E884" s="19">
        <f>SUMIF('C1'!$B$6:$B$2228,B884,'C1'!$D$6:$D$2228)</f>
        <v>0</v>
      </c>
      <c r="F884" s="19">
        <f>SUMIF('C2'!$B$6:$B$2228,B884,'C2'!$D$6:$D$2228)</f>
        <v>0</v>
      </c>
      <c r="G884" s="19">
        <f>SUMIF('C3'!$B$6:$B$2228,B884,'C3'!$D$6:$D$2228)</f>
        <v>0</v>
      </c>
      <c r="H884" s="22"/>
      <c r="I884" s="22"/>
      <c r="J884" s="4" t="s">
        <v>851</v>
      </c>
      <c r="K884" s="4" t="s">
        <v>855</v>
      </c>
    </row>
    <row r="885" spans="2:11">
      <c r="B885" s="1">
        <v>51079</v>
      </c>
      <c r="C885" s="4" t="s">
        <v>931</v>
      </c>
      <c r="D885" s="19">
        <f t="shared" si="13"/>
        <v>0</v>
      </c>
      <c r="E885" s="19">
        <f>SUMIF('C1'!$B$6:$B$2228,B885,'C1'!$D$6:$D$2228)</f>
        <v>0</v>
      </c>
      <c r="F885" s="19">
        <f>SUMIF('C2'!$B$6:$B$2228,B885,'C2'!$D$6:$D$2228)</f>
        <v>0</v>
      </c>
      <c r="G885" s="19">
        <f>SUMIF('C3'!$B$6:$B$2228,B885,'C3'!$D$6:$D$2228)</f>
        <v>0</v>
      </c>
      <c r="H885" s="22"/>
      <c r="I885" s="22"/>
      <c r="J885" s="4" t="s">
        <v>851</v>
      </c>
      <c r="K885" s="4" t="s">
        <v>855</v>
      </c>
    </row>
    <row r="886" spans="2:11">
      <c r="B886" s="1">
        <v>51080</v>
      </c>
      <c r="C886" s="4" t="s">
        <v>932</v>
      </c>
      <c r="D886" s="19">
        <f t="shared" si="13"/>
        <v>0</v>
      </c>
      <c r="E886" s="19">
        <f>SUMIF('C1'!$B$6:$B$2228,B886,'C1'!$D$6:$D$2228)</f>
        <v>0</v>
      </c>
      <c r="F886" s="19">
        <f>SUMIF('C2'!$B$6:$B$2228,B886,'C2'!$D$6:$D$2228)</f>
        <v>0</v>
      </c>
      <c r="G886" s="19">
        <f>SUMIF('C3'!$B$6:$B$2228,B886,'C3'!$D$6:$D$2228)</f>
        <v>0</v>
      </c>
      <c r="H886" s="22"/>
      <c r="I886" s="22"/>
      <c r="J886" s="4" t="s">
        <v>851</v>
      </c>
      <c r="K886" s="4" t="s">
        <v>855</v>
      </c>
    </row>
    <row r="887" spans="2:11">
      <c r="B887" s="1">
        <v>51081</v>
      </c>
      <c r="C887" s="4" t="s">
        <v>933</v>
      </c>
      <c r="D887" s="19">
        <f t="shared" si="13"/>
        <v>0</v>
      </c>
      <c r="E887" s="19">
        <f>SUMIF('C1'!$B$6:$B$2228,B887,'C1'!$D$6:$D$2228)</f>
        <v>0</v>
      </c>
      <c r="F887" s="19">
        <f>SUMIF('C2'!$B$6:$B$2228,B887,'C2'!$D$6:$D$2228)</f>
        <v>0</v>
      </c>
      <c r="G887" s="19">
        <f>SUMIF('C3'!$B$6:$B$2228,B887,'C3'!$D$6:$D$2228)</f>
        <v>0</v>
      </c>
      <c r="H887" s="22"/>
      <c r="I887" s="22"/>
      <c r="J887" s="4" t="s">
        <v>851</v>
      </c>
      <c r="K887" s="4" t="s">
        <v>855</v>
      </c>
    </row>
    <row r="888" spans="2:11">
      <c r="B888" s="1">
        <v>51082</v>
      </c>
      <c r="C888" s="4" t="s">
        <v>934</v>
      </c>
      <c r="D888" s="19">
        <f t="shared" si="13"/>
        <v>0</v>
      </c>
      <c r="E888" s="19">
        <f>SUMIF('C1'!$B$6:$B$2228,B888,'C1'!$D$6:$D$2228)</f>
        <v>0</v>
      </c>
      <c r="F888" s="19">
        <f>SUMIF('C2'!$B$6:$B$2228,B888,'C2'!$D$6:$D$2228)</f>
        <v>0</v>
      </c>
      <c r="G888" s="19">
        <f>SUMIF('C3'!$B$6:$B$2228,B888,'C3'!$D$6:$D$2228)</f>
        <v>0</v>
      </c>
      <c r="H888" s="22"/>
      <c r="I888" s="22"/>
      <c r="J888" s="4" t="s">
        <v>851</v>
      </c>
      <c r="K888" s="4" t="s">
        <v>855</v>
      </c>
    </row>
    <row r="889" spans="2:11">
      <c r="B889" s="1">
        <v>51083</v>
      </c>
      <c r="C889" s="4" t="s">
        <v>935</v>
      </c>
      <c r="D889" s="19">
        <f t="shared" si="13"/>
        <v>0</v>
      </c>
      <c r="E889" s="19">
        <f>SUMIF('C1'!$B$6:$B$2228,B889,'C1'!$D$6:$D$2228)</f>
        <v>0</v>
      </c>
      <c r="F889" s="19">
        <f>SUMIF('C2'!$B$6:$B$2228,B889,'C2'!$D$6:$D$2228)</f>
        <v>0</v>
      </c>
      <c r="G889" s="19">
        <f>SUMIF('C3'!$B$6:$B$2228,B889,'C3'!$D$6:$D$2228)</f>
        <v>0</v>
      </c>
      <c r="H889" s="22"/>
      <c r="I889" s="22"/>
      <c r="J889" s="4" t="s">
        <v>851</v>
      </c>
      <c r="K889" s="4" t="s">
        <v>855</v>
      </c>
    </row>
    <row r="890" spans="2:11">
      <c r="B890" s="1">
        <v>51084</v>
      </c>
      <c r="C890" s="4" t="s">
        <v>936</v>
      </c>
      <c r="D890" s="19">
        <f t="shared" si="13"/>
        <v>0</v>
      </c>
      <c r="E890" s="19">
        <f>SUMIF('C1'!$B$6:$B$2228,B890,'C1'!$D$6:$D$2228)</f>
        <v>0</v>
      </c>
      <c r="F890" s="19">
        <f>SUMIF('C2'!$B$6:$B$2228,B890,'C2'!$D$6:$D$2228)</f>
        <v>0</v>
      </c>
      <c r="G890" s="19">
        <f>SUMIF('C3'!$B$6:$B$2228,B890,'C3'!$D$6:$D$2228)</f>
        <v>0</v>
      </c>
      <c r="H890" s="22"/>
      <c r="I890" s="22"/>
      <c r="J890" s="4" t="s">
        <v>851</v>
      </c>
      <c r="K890" s="4" t="s">
        <v>855</v>
      </c>
    </row>
    <row r="891" spans="2:11">
      <c r="B891" s="1">
        <v>51085</v>
      </c>
      <c r="C891" s="4" t="s">
        <v>937</v>
      </c>
      <c r="D891" s="19">
        <f t="shared" si="13"/>
        <v>0</v>
      </c>
      <c r="E891" s="19">
        <f>SUMIF('C1'!$B$6:$B$2228,B891,'C1'!$D$6:$D$2228)</f>
        <v>0</v>
      </c>
      <c r="F891" s="19">
        <f>SUMIF('C2'!$B$6:$B$2228,B891,'C2'!$D$6:$D$2228)</f>
        <v>0</v>
      </c>
      <c r="G891" s="19">
        <f>SUMIF('C3'!$B$6:$B$2228,B891,'C3'!$D$6:$D$2228)</f>
        <v>0</v>
      </c>
      <c r="H891" s="22"/>
      <c r="I891" s="22"/>
      <c r="J891" s="4" t="s">
        <v>851</v>
      </c>
      <c r="K891" s="4" t="s">
        <v>855</v>
      </c>
    </row>
    <row r="892" spans="2:11">
      <c r="B892" s="1">
        <v>51086</v>
      </c>
      <c r="C892" s="4" t="s">
        <v>938</v>
      </c>
      <c r="D892" s="19">
        <f t="shared" si="13"/>
        <v>0</v>
      </c>
      <c r="E892" s="19">
        <f>SUMIF('C1'!$B$6:$B$2228,B892,'C1'!$D$6:$D$2228)</f>
        <v>0</v>
      </c>
      <c r="F892" s="19">
        <f>SUMIF('C2'!$B$6:$B$2228,B892,'C2'!$D$6:$D$2228)</f>
        <v>0</v>
      </c>
      <c r="G892" s="19">
        <f>SUMIF('C3'!$B$6:$B$2228,B892,'C3'!$D$6:$D$2228)</f>
        <v>0</v>
      </c>
      <c r="H892" s="22"/>
      <c r="I892" s="22"/>
      <c r="J892" s="4" t="s">
        <v>851</v>
      </c>
      <c r="K892" s="4" t="s">
        <v>855</v>
      </c>
    </row>
    <row r="893" spans="2:11">
      <c r="B893" s="1">
        <v>51087</v>
      </c>
      <c r="C893" s="4" t="s">
        <v>939</v>
      </c>
      <c r="D893" s="19">
        <f t="shared" si="13"/>
        <v>0</v>
      </c>
      <c r="E893" s="19">
        <f>SUMIF('C1'!$B$6:$B$2228,B893,'C1'!$D$6:$D$2228)</f>
        <v>0</v>
      </c>
      <c r="F893" s="19">
        <f>SUMIF('C2'!$B$6:$B$2228,B893,'C2'!$D$6:$D$2228)</f>
        <v>0</v>
      </c>
      <c r="G893" s="19">
        <f>SUMIF('C3'!$B$6:$B$2228,B893,'C3'!$D$6:$D$2228)</f>
        <v>0</v>
      </c>
      <c r="H893" s="22"/>
      <c r="I893" s="22"/>
      <c r="J893" s="4" t="s">
        <v>851</v>
      </c>
      <c r="K893" s="4" t="s">
        <v>855</v>
      </c>
    </row>
    <row r="894" spans="2:11">
      <c r="B894" s="1">
        <v>51088</v>
      </c>
      <c r="C894" s="4" t="s">
        <v>940</v>
      </c>
      <c r="D894" s="19">
        <f t="shared" si="13"/>
        <v>0</v>
      </c>
      <c r="E894" s="19">
        <f>SUMIF('C1'!$B$6:$B$2228,B894,'C1'!$D$6:$D$2228)</f>
        <v>0</v>
      </c>
      <c r="F894" s="19">
        <f>SUMIF('C2'!$B$6:$B$2228,B894,'C2'!$D$6:$D$2228)</f>
        <v>0</v>
      </c>
      <c r="G894" s="19">
        <f>SUMIF('C3'!$B$6:$B$2228,B894,'C3'!$D$6:$D$2228)</f>
        <v>0</v>
      </c>
      <c r="H894" s="22"/>
      <c r="I894" s="22"/>
      <c r="J894" s="4" t="s">
        <v>851</v>
      </c>
      <c r="K894" s="4" t="s">
        <v>855</v>
      </c>
    </row>
    <row r="895" spans="2:11">
      <c r="B895" s="1">
        <v>51089</v>
      </c>
      <c r="C895" s="4" t="s">
        <v>941</v>
      </c>
      <c r="D895" s="19">
        <f t="shared" si="13"/>
        <v>0</v>
      </c>
      <c r="E895" s="19">
        <f>SUMIF('C1'!$B$6:$B$2228,B895,'C1'!$D$6:$D$2228)</f>
        <v>0</v>
      </c>
      <c r="F895" s="19">
        <f>SUMIF('C2'!$B$6:$B$2228,B895,'C2'!$D$6:$D$2228)</f>
        <v>0</v>
      </c>
      <c r="G895" s="19">
        <f>SUMIF('C3'!$B$6:$B$2228,B895,'C3'!$D$6:$D$2228)</f>
        <v>0</v>
      </c>
      <c r="H895" s="22"/>
      <c r="I895" s="22"/>
      <c r="J895" s="4" t="s">
        <v>851</v>
      </c>
      <c r="K895" s="4" t="s">
        <v>855</v>
      </c>
    </row>
    <row r="896" spans="2:11">
      <c r="B896" s="1">
        <v>51090</v>
      </c>
      <c r="C896" s="4" t="s">
        <v>942</v>
      </c>
      <c r="D896" s="19">
        <f t="shared" si="13"/>
        <v>0</v>
      </c>
      <c r="E896" s="19">
        <f>SUMIF('C1'!$B$6:$B$2228,B896,'C1'!$D$6:$D$2228)</f>
        <v>0</v>
      </c>
      <c r="F896" s="19">
        <f>SUMIF('C2'!$B$6:$B$2228,B896,'C2'!$D$6:$D$2228)</f>
        <v>0</v>
      </c>
      <c r="G896" s="19">
        <f>SUMIF('C3'!$B$6:$B$2228,B896,'C3'!$D$6:$D$2228)</f>
        <v>0</v>
      </c>
      <c r="H896" s="22"/>
      <c r="I896" s="22"/>
      <c r="J896" s="4" t="s">
        <v>851</v>
      </c>
      <c r="K896" s="4" t="s">
        <v>855</v>
      </c>
    </row>
    <row r="897" spans="2:11">
      <c r="B897" s="1">
        <v>51091</v>
      </c>
      <c r="C897" s="4" t="s">
        <v>943</v>
      </c>
      <c r="D897" s="19">
        <f t="shared" si="13"/>
        <v>0</v>
      </c>
      <c r="E897" s="19">
        <f>SUMIF('C1'!$B$6:$B$2228,B897,'C1'!$D$6:$D$2228)</f>
        <v>0</v>
      </c>
      <c r="F897" s="19">
        <f>SUMIF('C2'!$B$6:$B$2228,B897,'C2'!$D$6:$D$2228)</f>
        <v>0</v>
      </c>
      <c r="G897" s="19">
        <f>SUMIF('C3'!$B$6:$B$2228,B897,'C3'!$D$6:$D$2228)</f>
        <v>0</v>
      </c>
      <c r="H897" s="22"/>
      <c r="I897" s="22"/>
      <c r="J897" s="4" t="s">
        <v>851</v>
      </c>
      <c r="K897" s="4" t="s">
        <v>855</v>
      </c>
    </row>
    <row r="898" spans="2:11">
      <c r="B898" s="1">
        <v>51092</v>
      </c>
      <c r="C898" s="4" t="s">
        <v>944</v>
      </c>
      <c r="D898" s="19">
        <f t="shared" si="13"/>
        <v>0</v>
      </c>
      <c r="E898" s="19">
        <f>SUMIF('C1'!$B$6:$B$2228,B898,'C1'!$D$6:$D$2228)</f>
        <v>0</v>
      </c>
      <c r="F898" s="19">
        <f>SUMIF('C2'!$B$6:$B$2228,B898,'C2'!$D$6:$D$2228)</f>
        <v>0</v>
      </c>
      <c r="G898" s="19">
        <f>SUMIF('C3'!$B$6:$B$2228,B898,'C3'!$D$6:$D$2228)</f>
        <v>0</v>
      </c>
      <c r="H898" s="22"/>
      <c r="I898" s="22"/>
      <c r="J898" s="4" t="s">
        <v>851</v>
      </c>
      <c r="K898" s="4" t="s">
        <v>855</v>
      </c>
    </row>
    <row r="899" spans="2:11">
      <c r="B899" s="1">
        <v>51093</v>
      </c>
      <c r="C899" s="4" t="s">
        <v>945</v>
      </c>
      <c r="D899" s="19">
        <f t="shared" si="13"/>
        <v>0</v>
      </c>
      <c r="E899" s="19">
        <f>SUMIF('C1'!$B$6:$B$2228,B899,'C1'!$D$6:$D$2228)</f>
        <v>0</v>
      </c>
      <c r="F899" s="19">
        <f>SUMIF('C2'!$B$6:$B$2228,B899,'C2'!$D$6:$D$2228)</f>
        <v>0</v>
      </c>
      <c r="G899" s="19">
        <f>SUMIF('C3'!$B$6:$B$2228,B899,'C3'!$D$6:$D$2228)</f>
        <v>0</v>
      </c>
      <c r="H899" s="22"/>
      <c r="I899" s="22"/>
      <c r="J899" s="4" t="s">
        <v>851</v>
      </c>
      <c r="K899" s="4" t="s">
        <v>855</v>
      </c>
    </row>
    <row r="900" spans="2:11">
      <c r="B900" s="1">
        <v>51094</v>
      </c>
      <c r="C900" s="4" t="s">
        <v>946</v>
      </c>
      <c r="D900" s="19">
        <f t="shared" si="13"/>
        <v>0</v>
      </c>
      <c r="E900" s="19">
        <f>SUMIF('C1'!$B$6:$B$2228,B900,'C1'!$D$6:$D$2228)</f>
        <v>0</v>
      </c>
      <c r="F900" s="19">
        <f>SUMIF('C2'!$B$6:$B$2228,B900,'C2'!$D$6:$D$2228)</f>
        <v>0</v>
      </c>
      <c r="G900" s="19">
        <f>SUMIF('C3'!$B$6:$B$2228,B900,'C3'!$D$6:$D$2228)</f>
        <v>0</v>
      </c>
      <c r="H900" s="22"/>
      <c r="I900" s="22"/>
      <c r="J900" s="4" t="s">
        <v>851</v>
      </c>
      <c r="K900" s="4" t="s">
        <v>855</v>
      </c>
    </row>
    <row r="901" spans="2:11">
      <c r="B901" s="1">
        <v>51095</v>
      </c>
      <c r="C901" s="4" t="s">
        <v>947</v>
      </c>
      <c r="D901" s="19">
        <f t="shared" si="13"/>
        <v>0</v>
      </c>
      <c r="E901" s="19">
        <f>SUMIF('C1'!$B$6:$B$2228,B901,'C1'!$D$6:$D$2228)</f>
        <v>0</v>
      </c>
      <c r="F901" s="19">
        <f>SUMIF('C2'!$B$6:$B$2228,B901,'C2'!$D$6:$D$2228)</f>
        <v>0</v>
      </c>
      <c r="G901" s="19">
        <f>SUMIF('C3'!$B$6:$B$2228,B901,'C3'!$D$6:$D$2228)</f>
        <v>0</v>
      </c>
      <c r="H901" s="22"/>
      <c r="I901" s="22"/>
      <c r="J901" s="4" t="s">
        <v>851</v>
      </c>
      <c r="K901" s="4" t="s">
        <v>855</v>
      </c>
    </row>
    <row r="902" spans="2:11">
      <c r="B902" s="1">
        <v>51096</v>
      </c>
      <c r="C902" s="4" t="s">
        <v>948</v>
      </c>
      <c r="D902" s="19">
        <f t="shared" si="13"/>
        <v>0</v>
      </c>
      <c r="E902" s="19">
        <f>SUMIF('C1'!$B$6:$B$2228,B902,'C1'!$D$6:$D$2228)</f>
        <v>0</v>
      </c>
      <c r="F902" s="19">
        <f>SUMIF('C2'!$B$6:$B$2228,B902,'C2'!$D$6:$D$2228)</f>
        <v>0</v>
      </c>
      <c r="G902" s="19">
        <f>SUMIF('C3'!$B$6:$B$2228,B902,'C3'!$D$6:$D$2228)</f>
        <v>0</v>
      </c>
      <c r="H902" s="22"/>
      <c r="I902" s="22"/>
      <c r="J902" s="4" t="s">
        <v>851</v>
      </c>
      <c r="K902" s="4" t="s">
        <v>855</v>
      </c>
    </row>
    <row r="903" spans="2:11">
      <c r="B903" s="1">
        <v>51097</v>
      </c>
      <c r="C903" s="4" t="s">
        <v>949</v>
      </c>
      <c r="D903" s="19">
        <f t="shared" ref="D903:D966" si="14">SUM(E903:I903)</f>
        <v>0</v>
      </c>
      <c r="E903" s="19">
        <f>SUMIF('C1'!$B$6:$B$2228,B903,'C1'!$D$6:$D$2228)</f>
        <v>0</v>
      </c>
      <c r="F903" s="19">
        <f>SUMIF('C2'!$B$6:$B$2228,B903,'C2'!$D$6:$D$2228)</f>
        <v>0</v>
      </c>
      <c r="G903" s="19">
        <f>SUMIF('C3'!$B$6:$B$2228,B903,'C3'!$D$6:$D$2228)</f>
        <v>0</v>
      </c>
      <c r="H903" s="22"/>
      <c r="I903" s="22"/>
      <c r="J903" s="4" t="s">
        <v>851</v>
      </c>
      <c r="K903" s="4" t="s">
        <v>855</v>
      </c>
    </row>
    <row r="904" spans="2:11">
      <c r="B904" s="1">
        <v>51098</v>
      </c>
      <c r="C904" s="4" t="s">
        <v>950</v>
      </c>
      <c r="D904" s="19">
        <f t="shared" si="14"/>
        <v>0</v>
      </c>
      <c r="E904" s="19">
        <f>SUMIF('C1'!$B$6:$B$2228,B904,'C1'!$D$6:$D$2228)</f>
        <v>0</v>
      </c>
      <c r="F904" s="19">
        <f>SUMIF('C2'!$B$6:$B$2228,B904,'C2'!$D$6:$D$2228)</f>
        <v>0</v>
      </c>
      <c r="G904" s="19">
        <f>SUMIF('C3'!$B$6:$B$2228,B904,'C3'!$D$6:$D$2228)</f>
        <v>0</v>
      </c>
      <c r="H904" s="22"/>
      <c r="I904" s="22"/>
      <c r="J904" s="4" t="s">
        <v>851</v>
      </c>
      <c r="K904" s="4" t="s">
        <v>855</v>
      </c>
    </row>
    <row r="905" spans="2:11">
      <c r="B905" s="1">
        <v>51099</v>
      </c>
      <c r="C905" s="4" t="s">
        <v>951</v>
      </c>
      <c r="D905" s="19">
        <f t="shared" si="14"/>
        <v>0</v>
      </c>
      <c r="E905" s="19">
        <f>SUMIF('C1'!$B$6:$B$2228,B905,'C1'!$D$6:$D$2228)</f>
        <v>0</v>
      </c>
      <c r="F905" s="19">
        <f>SUMIF('C2'!$B$6:$B$2228,B905,'C2'!$D$6:$D$2228)</f>
        <v>0</v>
      </c>
      <c r="G905" s="19">
        <f>SUMIF('C3'!$B$6:$B$2228,B905,'C3'!$D$6:$D$2228)</f>
        <v>0</v>
      </c>
      <c r="H905" s="22"/>
      <c r="I905" s="22"/>
      <c r="J905" s="4" t="s">
        <v>851</v>
      </c>
      <c r="K905" s="4" t="s">
        <v>855</v>
      </c>
    </row>
    <row r="906" spans="2:11">
      <c r="B906" s="1">
        <v>51100</v>
      </c>
      <c r="C906" s="4" t="s">
        <v>952</v>
      </c>
      <c r="D906" s="19">
        <f t="shared" si="14"/>
        <v>0</v>
      </c>
      <c r="E906" s="19">
        <f>SUMIF('C1'!$B$6:$B$2228,B906,'C1'!$D$6:$D$2228)</f>
        <v>0</v>
      </c>
      <c r="F906" s="19">
        <f>SUMIF('C2'!$B$6:$B$2228,B906,'C2'!$D$6:$D$2228)</f>
        <v>0</v>
      </c>
      <c r="G906" s="19">
        <f>SUMIF('C3'!$B$6:$B$2228,B906,'C3'!$D$6:$D$2228)</f>
        <v>0</v>
      </c>
      <c r="H906" s="22"/>
      <c r="I906" s="22"/>
      <c r="J906" s="4" t="s">
        <v>851</v>
      </c>
      <c r="K906" s="4" t="s">
        <v>855</v>
      </c>
    </row>
    <row r="907" spans="2:11">
      <c r="B907" s="1">
        <v>51101</v>
      </c>
      <c r="C907" s="4" t="s">
        <v>953</v>
      </c>
      <c r="D907" s="19">
        <f t="shared" si="14"/>
        <v>0</v>
      </c>
      <c r="E907" s="19">
        <f>SUMIF('C1'!$B$6:$B$2228,B907,'C1'!$D$6:$D$2228)</f>
        <v>0</v>
      </c>
      <c r="F907" s="19">
        <f>SUMIF('C2'!$B$6:$B$2228,B907,'C2'!$D$6:$D$2228)</f>
        <v>0</v>
      </c>
      <c r="G907" s="19">
        <f>SUMIF('C3'!$B$6:$B$2228,B907,'C3'!$D$6:$D$2228)</f>
        <v>0</v>
      </c>
      <c r="H907" s="22"/>
      <c r="I907" s="22"/>
      <c r="J907" s="4" t="s">
        <v>851</v>
      </c>
      <c r="K907" s="4" t="s">
        <v>855</v>
      </c>
    </row>
    <row r="908" spans="2:11">
      <c r="B908" s="1">
        <v>51102</v>
      </c>
      <c r="C908" s="4" t="s">
        <v>954</v>
      </c>
      <c r="D908" s="19">
        <f t="shared" si="14"/>
        <v>0</v>
      </c>
      <c r="E908" s="19">
        <f>SUMIF('C1'!$B$6:$B$2228,B908,'C1'!$D$6:$D$2228)</f>
        <v>0</v>
      </c>
      <c r="F908" s="19">
        <f>SUMIF('C2'!$B$6:$B$2228,B908,'C2'!$D$6:$D$2228)</f>
        <v>0</v>
      </c>
      <c r="G908" s="19">
        <f>SUMIF('C3'!$B$6:$B$2228,B908,'C3'!$D$6:$D$2228)</f>
        <v>0</v>
      </c>
      <c r="H908" s="22"/>
      <c r="I908" s="22"/>
      <c r="J908" s="4" t="s">
        <v>851</v>
      </c>
      <c r="K908" s="4" t="s">
        <v>855</v>
      </c>
    </row>
    <row r="909" spans="2:11">
      <c r="B909" s="1">
        <v>51103</v>
      </c>
      <c r="C909" s="4" t="s">
        <v>955</v>
      </c>
      <c r="D909" s="19">
        <f t="shared" si="14"/>
        <v>0</v>
      </c>
      <c r="E909" s="19">
        <f>SUMIF('C1'!$B$6:$B$2228,B909,'C1'!$D$6:$D$2228)</f>
        <v>0</v>
      </c>
      <c r="F909" s="19">
        <f>SUMIF('C2'!$B$6:$B$2228,B909,'C2'!$D$6:$D$2228)</f>
        <v>0</v>
      </c>
      <c r="G909" s="19">
        <f>SUMIF('C3'!$B$6:$B$2228,B909,'C3'!$D$6:$D$2228)</f>
        <v>0</v>
      </c>
      <c r="H909" s="22"/>
      <c r="I909" s="22"/>
      <c r="J909" s="4" t="s">
        <v>851</v>
      </c>
      <c r="K909" s="4" t="s">
        <v>855</v>
      </c>
    </row>
    <row r="910" spans="2:11">
      <c r="B910" s="1">
        <v>51104</v>
      </c>
      <c r="C910" s="4" t="s">
        <v>956</v>
      </c>
      <c r="D910" s="19">
        <f t="shared" si="14"/>
        <v>0</v>
      </c>
      <c r="E910" s="19">
        <f>SUMIF('C1'!$B$6:$B$2228,B910,'C1'!$D$6:$D$2228)</f>
        <v>0</v>
      </c>
      <c r="F910" s="19">
        <f>SUMIF('C2'!$B$6:$B$2228,B910,'C2'!$D$6:$D$2228)</f>
        <v>0</v>
      </c>
      <c r="G910" s="19">
        <f>SUMIF('C3'!$B$6:$B$2228,B910,'C3'!$D$6:$D$2228)</f>
        <v>0</v>
      </c>
      <c r="H910" s="22"/>
      <c r="I910" s="22"/>
      <c r="J910" s="4" t="s">
        <v>851</v>
      </c>
      <c r="K910" s="4" t="s">
        <v>855</v>
      </c>
    </row>
    <row r="911" spans="2:11">
      <c r="B911" s="1">
        <v>51105</v>
      </c>
      <c r="C911" s="4" t="s">
        <v>957</v>
      </c>
      <c r="D911" s="19">
        <f t="shared" si="14"/>
        <v>0</v>
      </c>
      <c r="E911" s="19">
        <f>SUMIF('C1'!$B$6:$B$2228,B911,'C1'!$D$6:$D$2228)</f>
        <v>0</v>
      </c>
      <c r="F911" s="19">
        <f>SUMIF('C2'!$B$6:$B$2228,B911,'C2'!$D$6:$D$2228)</f>
        <v>0</v>
      </c>
      <c r="G911" s="19">
        <f>SUMIF('C3'!$B$6:$B$2228,B911,'C3'!$D$6:$D$2228)</f>
        <v>0</v>
      </c>
      <c r="H911" s="22"/>
      <c r="I911" s="22"/>
      <c r="J911" s="4" t="s">
        <v>851</v>
      </c>
      <c r="K911" s="4" t="s">
        <v>855</v>
      </c>
    </row>
    <row r="912" spans="2:11">
      <c r="B912" s="1">
        <v>51106</v>
      </c>
      <c r="C912" s="4" t="s">
        <v>958</v>
      </c>
      <c r="D912" s="19">
        <f t="shared" si="14"/>
        <v>0</v>
      </c>
      <c r="E912" s="19">
        <f>SUMIF('C1'!$B$6:$B$2228,B912,'C1'!$D$6:$D$2228)</f>
        <v>0</v>
      </c>
      <c r="F912" s="19">
        <f>SUMIF('C2'!$B$6:$B$2228,B912,'C2'!$D$6:$D$2228)</f>
        <v>0</v>
      </c>
      <c r="G912" s="19">
        <f>SUMIF('C3'!$B$6:$B$2228,B912,'C3'!$D$6:$D$2228)</f>
        <v>0</v>
      </c>
      <c r="H912" s="22"/>
      <c r="I912" s="22"/>
      <c r="J912" s="4" t="s">
        <v>851</v>
      </c>
      <c r="K912" s="4" t="s">
        <v>855</v>
      </c>
    </row>
    <row r="913" spans="2:11">
      <c r="B913" s="1">
        <v>51107</v>
      </c>
      <c r="C913" s="4" t="s">
        <v>959</v>
      </c>
      <c r="D913" s="19">
        <f t="shared" si="14"/>
        <v>0</v>
      </c>
      <c r="E913" s="19">
        <f>SUMIF('C1'!$B$6:$B$2228,B913,'C1'!$D$6:$D$2228)</f>
        <v>0</v>
      </c>
      <c r="F913" s="19">
        <f>SUMIF('C2'!$B$6:$B$2228,B913,'C2'!$D$6:$D$2228)</f>
        <v>0</v>
      </c>
      <c r="G913" s="19">
        <f>SUMIF('C3'!$B$6:$B$2228,B913,'C3'!$D$6:$D$2228)</f>
        <v>0</v>
      </c>
      <c r="H913" s="22"/>
      <c r="I913" s="22"/>
      <c r="J913" s="4" t="s">
        <v>851</v>
      </c>
      <c r="K913" s="4" t="s">
        <v>855</v>
      </c>
    </row>
    <row r="914" spans="2:11">
      <c r="B914" s="1">
        <v>51108</v>
      </c>
      <c r="C914" s="4" t="s">
        <v>960</v>
      </c>
      <c r="D914" s="19">
        <f t="shared" si="14"/>
        <v>0</v>
      </c>
      <c r="E914" s="19">
        <f>SUMIF('C1'!$B$6:$B$2228,B914,'C1'!$D$6:$D$2228)</f>
        <v>0</v>
      </c>
      <c r="F914" s="19">
        <f>SUMIF('C2'!$B$6:$B$2228,B914,'C2'!$D$6:$D$2228)</f>
        <v>0</v>
      </c>
      <c r="G914" s="19">
        <f>SUMIF('C3'!$B$6:$B$2228,B914,'C3'!$D$6:$D$2228)</f>
        <v>0</v>
      </c>
      <c r="H914" s="22"/>
      <c r="I914" s="22"/>
      <c r="J914" s="4" t="s">
        <v>851</v>
      </c>
      <c r="K914" s="4" t="s">
        <v>855</v>
      </c>
    </row>
    <row r="915" spans="2:11">
      <c r="B915" s="1">
        <v>51109</v>
      </c>
      <c r="C915" s="4" t="s">
        <v>961</v>
      </c>
      <c r="D915" s="19">
        <f t="shared" si="14"/>
        <v>0</v>
      </c>
      <c r="E915" s="19">
        <f>SUMIF('C1'!$B$6:$B$2228,B915,'C1'!$D$6:$D$2228)</f>
        <v>0</v>
      </c>
      <c r="F915" s="19">
        <f>SUMIF('C2'!$B$6:$B$2228,B915,'C2'!$D$6:$D$2228)</f>
        <v>0</v>
      </c>
      <c r="G915" s="19">
        <f>SUMIF('C3'!$B$6:$B$2228,B915,'C3'!$D$6:$D$2228)</f>
        <v>0</v>
      </c>
      <c r="H915" s="22"/>
      <c r="I915" s="22"/>
      <c r="J915" s="4" t="s">
        <v>851</v>
      </c>
      <c r="K915" s="4" t="s">
        <v>855</v>
      </c>
    </row>
    <row r="916" spans="2:11">
      <c r="B916" s="1">
        <v>51110</v>
      </c>
      <c r="C916" s="4" t="s">
        <v>962</v>
      </c>
      <c r="D916" s="19">
        <f t="shared" si="14"/>
        <v>0</v>
      </c>
      <c r="E916" s="19">
        <f>SUMIF('C1'!$B$6:$B$2228,B916,'C1'!$D$6:$D$2228)</f>
        <v>0</v>
      </c>
      <c r="F916" s="19">
        <f>SUMIF('C2'!$B$6:$B$2228,B916,'C2'!$D$6:$D$2228)</f>
        <v>0</v>
      </c>
      <c r="G916" s="19">
        <f>SUMIF('C3'!$B$6:$B$2228,B916,'C3'!$D$6:$D$2228)</f>
        <v>0</v>
      </c>
      <c r="H916" s="22"/>
      <c r="I916" s="22"/>
      <c r="J916" s="4" t="s">
        <v>851</v>
      </c>
      <c r="K916" s="4" t="s">
        <v>855</v>
      </c>
    </row>
    <row r="917" spans="2:11">
      <c r="B917" s="1">
        <v>51111</v>
      </c>
      <c r="C917" s="4" t="s">
        <v>963</v>
      </c>
      <c r="D917" s="19">
        <f t="shared" si="14"/>
        <v>0</v>
      </c>
      <c r="E917" s="19">
        <f>SUMIF('C1'!$B$6:$B$2228,B917,'C1'!$D$6:$D$2228)</f>
        <v>0</v>
      </c>
      <c r="F917" s="19">
        <f>SUMIF('C2'!$B$6:$B$2228,B917,'C2'!$D$6:$D$2228)</f>
        <v>0</v>
      </c>
      <c r="G917" s="19">
        <f>SUMIF('C3'!$B$6:$B$2228,B917,'C3'!$D$6:$D$2228)</f>
        <v>0</v>
      </c>
      <c r="H917" s="22"/>
      <c r="I917" s="22"/>
      <c r="J917" s="4" t="s">
        <v>851</v>
      </c>
      <c r="K917" s="4" t="s">
        <v>855</v>
      </c>
    </row>
    <row r="918" spans="2:11">
      <c r="B918" s="1">
        <v>51112</v>
      </c>
      <c r="C918" s="4" t="s">
        <v>964</v>
      </c>
      <c r="D918" s="19">
        <f t="shared" si="14"/>
        <v>0</v>
      </c>
      <c r="E918" s="19">
        <f>SUMIF('C1'!$B$6:$B$2228,B918,'C1'!$D$6:$D$2228)</f>
        <v>0</v>
      </c>
      <c r="F918" s="19">
        <f>SUMIF('C2'!$B$6:$B$2228,B918,'C2'!$D$6:$D$2228)</f>
        <v>0</v>
      </c>
      <c r="G918" s="19">
        <f>SUMIF('C3'!$B$6:$B$2228,B918,'C3'!$D$6:$D$2228)</f>
        <v>0</v>
      </c>
      <c r="H918" s="22"/>
      <c r="I918" s="22"/>
      <c r="J918" s="4" t="s">
        <v>851</v>
      </c>
      <c r="K918" s="4" t="s">
        <v>855</v>
      </c>
    </row>
    <row r="919" spans="2:11">
      <c r="B919" s="1">
        <v>51113</v>
      </c>
      <c r="C919" s="4" t="s">
        <v>965</v>
      </c>
      <c r="D919" s="19">
        <f t="shared" si="14"/>
        <v>0</v>
      </c>
      <c r="E919" s="19">
        <f>SUMIF('C1'!$B$6:$B$2228,B919,'C1'!$D$6:$D$2228)</f>
        <v>0</v>
      </c>
      <c r="F919" s="19">
        <f>SUMIF('C2'!$B$6:$B$2228,B919,'C2'!$D$6:$D$2228)</f>
        <v>0</v>
      </c>
      <c r="G919" s="19">
        <f>SUMIF('C3'!$B$6:$B$2228,B919,'C3'!$D$6:$D$2228)</f>
        <v>0</v>
      </c>
      <c r="H919" s="22"/>
      <c r="I919" s="22"/>
      <c r="J919" s="4" t="s">
        <v>851</v>
      </c>
      <c r="K919" s="4" t="s">
        <v>855</v>
      </c>
    </row>
    <row r="920" spans="2:11">
      <c r="B920" s="1">
        <v>51114</v>
      </c>
      <c r="C920" s="4" t="s">
        <v>966</v>
      </c>
      <c r="D920" s="19">
        <f t="shared" si="14"/>
        <v>0</v>
      </c>
      <c r="E920" s="19">
        <f>SUMIF('C1'!$B$6:$B$2228,B920,'C1'!$D$6:$D$2228)</f>
        <v>0</v>
      </c>
      <c r="F920" s="19">
        <f>SUMIF('C2'!$B$6:$B$2228,B920,'C2'!$D$6:$D$2228)</f>
        <v>0</v>
      </c>
      <c r="G920" s="19">
        <f>SUMIF('C3'!$B$6:$B$2228,B920,'C3'!$D$6:$D$2228)</f>
        <v>0</v>
      </c>
      <c r="H920" s="22"/>
      <c r="I920" s="22"/>
      <c r="J920" s="4" t="s">
        <v>851</v>
      </c>
      <c r="K920" s="4" t="s">
        <v>855</v>
      </c>
    </row>
    <row r="921" spans="2:11">
      <c r="B921" s="1">
        <v>51115</v>
      </c>
      <c r="C921" s="4" t="s">
        <v>967</v>
      </c>
      <c r="D921" s="19">
        <f t="shared" si="14"/>
        <v>0</v>
      </c>
      <c r="E921" s="19">
        <f>SUMIF('C1'!$B$6:$B$2228,B921,'C1'!$D$6:$D$2228)</f>
        <v>0</v>
      </c>
      <c r="F921" s="19">
        <f>SUMIF('C2'!$B$6:$B$2228,B921,'C2'!$D$6:$D$2228)</f>
        <v>0</v>
      </c>
      <c r="G921" s="19">
        <f>SUMIF('C3'!$B$6:$B$2228,B921,'C3'!$D$6:$D$2228)</f>
        <v>0</v>
      </c>
      <c r="H921" s="22"/>
      <c r="I921" s="22"/>
      <c r="J921" s="4" t="s">
        <v>851</v>
      </c>
      <c r="K921" s="4" t="s">
        <v>855</v>
      </c>
    </row>
    <row r="922" spans="2:11">
      <c r="B922" s="1">
        <v>51116</v>
      </c>
      <c r="C922" s="4" t="s">
        <v>968</v>
      </c>
      <c r="D922" s="19">
        <f t="shared" si="14"/>
        <v>0</v>
      </c>
      <c r="E922" s="19">
        <f>SUMIF('C1'!$B$6:$B$2228,B922,'C1'!$D$6:$D$2228)</f>
        <v>0</v>
      </c>
      <c r="F922" s="19">
        <f>SUMIF('C2'!$B$6:$B$2228,B922,'C2'!$D$6:$D$2228)</f>
        <v>0</v>
      </c>
      <c r="G922" s="19">
        <f>SUMIF('C3'!$B$6:$B$2228,B922,'C3'!$D$6:$D$2228)</f>
        <v>0</v>
      </c>
      <c r="H922" s="22"/>
      <c r="I922" s="22"/>
      <c r="J922" s="4" t="s">
        <v>851</v>
      </c>
      <c r="K922" s="4" t="s">
        <v>855</v>
      </c>
    </row>
    <row r="923" spans="2:11">
      <c r="B923" s="1">
        <v>51117</v>
      </c>
      <c r="C923" s="4" t="s">
        <v>969</v>
      </c>
      <c r="D923" s="19">
        <f t="shared" si="14"/>
        <v>0</v>
      </c>
      <c r="E923" s="19">
        <f>SUMIF('C1'!$B$6:$B$2228,B923,'C1'!$D$6:$D$2228)</f>
        <v>0</v>
      </c>
      <c r="F923" s="19">
        <f>SUMIF('C2'!$B$6:$B$2228,B923,'C2'!$D$6:$D$2228)</f>
        <v>0</v>
      </c>
      <c r="G923" s="19">
        <f>SUMIF('C3'!$B$6:$B$2228,B923,'C3'!$D$6:$D$2228)</f>
        <v>0</v>
      </c>
      <c r="H923" s="22"/>
      <c r="I923" s="22"/>
      <c r="J923" s="4" t="s">
        <v>851</v>
      </c>
      <c r="K923" s="4" t="s">
        <v>855</v>
      </c>
    </row>
    <row r="924" spans="2:11">
      <c r="B924" s="1">
        <v>51118</v>
      </c>
      <c r="C924" s="4" t="s">
        <v>970</v>
      </c>
      <c r="D924" s="19">
        <f t="shared" si="14"/>
        <v>0</v>
      </c>
      <c r="E924" s="19">
        <f>SUMIF('C1'!$B$6:$B$2228,B924,'C1'!$D$6:$D$2228)</f>
        <v>0</v>
      </c>
      <c r="F924" s="19">
        <f>SUMIF('C2'!$B$6:$B$2228,B924,'C2'!$D$6:$D$2228)</f>
        <v>0</v>
      </c>
      <c r="G924" s="19">
        <f>SUMIF('C3'!$B$6:$B$2228,B924,'C3'!$D$6:$D$2228)</f>
        <v>0</v>
      </c>
      <c r="H924" s="22"/>
      <c r="I924" s="22"/>
      <c r="J924" s="4" t="s">
        <v>851</v>
      </c>
      <c r="K924" s="4" t="s">
        <v>855</v>
      </c>
    </row>
    <row r="925" spans="2:11">
      <c r="B925" s="1">
        <v>51119</v>
      </c>
      <c r="C925" s="4" t="s">
        <v>971</v>
      </c>
      <c r="D925" s="19">
        <f t="shared" si="14"/>
        <v>0</v>
      </c>
      <c r="E925" s="19">
        <f>SUMIF('C1'!$B$6:$B$2228,B925,'C1'!$D$6:$D$2228)</f>
        <v>0</v>
      </c>
      <c r="F925" s="19">
        <f>SUMIF('C2'!$B$6:$B$2228,B925,'C2'!$D$6:$D$2228)</f>
        <v>0</v>
      </c>
      <c r="G925" s="19">
        <f>SUMIF('C3'!$B$6:$B$2228,B925,'C3'!$D$6:$D$2228)</f>
        <v>0</v>
      </c>
      <c r="H925" s="22"/>
      <c r="I925" s="22"/>
      <c r="J925" s="4" t="s">
        <v>851</v>
      </c>
      <c r="K925" s="4" t="s">
        <v>855</v>
      </c>
    </row>
    <row r="926" spans="2:11">
      <c r="B926" s="1">
        <v>51120</v>
      </c>
      <c r="C926" s="4" t="s">
        <v>972</v>
      </c>
      <c r="D926" s="19">
        <f t="shared" si="14"/>
        <v>0</v>
      </c>
      <c r="E926" s="19">
        <f>SUMIF('C1'!$B$6:$B$2228,B926,'C1'!$D$6:$D$2228)</f>
        <v>0</v>
      </c>
      <c r="F926" s="19">
        <f>SUMIF('C2'!$B$6:$B$2228,B926,'C2'!$D$6:$D$2228)</f>
        <v>0</v>
      </c>
      <c r="G926" s="19">
        <f>SUMIF('C3'!$B$6:$B$2228,B926,'C3'!$D$6:$D$2228)</f>
        <v>0</v>
      </c>
      <c r="H926" s="22"/>
      <c r="I926" s="22"/>
      <c r="J926" s="4" t="s">
        <v>851</v>
      </c>
      <c r="K926" s="4" t="s">
        <v>855</v>
      </c>
    </row>
    <row r="927" spans="2:11">
      <c r="B927" s="1">
        <v>51121</v>
      </c>
      <c r="C927" s="4" t="s">
        <v>973</v>
      </c>
      <c r="D927" s="19">
        <f t="shared" si="14"/>
        <v>0</v>
      </c>
      <c r="E927" s="19">
        <f>SUMIF('C1'!$B$6:$B$2228,B927,'C1'!$D$6:$D$2228)</f>
        <v>0</v>
      </c>
      <c r="F927" s="19">
        <f>SUMIF('C2'!$B$6:$B$2228,B927,'C2'!$D$6:$D$2228)</f>
        <v>0</v>
      </c>
      <c r="G927" s="19">
        <f>SUMIF('C3'!$B$6:$B$2228,B927,'C3'!$D$6:$D$2228)</f>
        <v>0</v>
      </c>
      <c r="H927" s="22"/>
      <c r="I927" s="22"/>
      <c r="J927" s="4" t="s">
        <v>851</v>
      </c>
      <c r="K927" s="4" t="s">
        <v>855</v>
      </c>
    </row>
    <row r="928" spans="2:11">
      <c r="B928" s="1">
        <v>51122</v>
      </c>
      <c r="C928" s="4" t="s">
        <v>974</v>
      </c>
      <c r="D928" s="19">
        <f t="shared" si="14"/>
        <v>0</v>
      </c>
      <c r="E928" s="19">
        <f>SUMIF('C1'!$B$6:$B$2228,B928,'C1'!$D$6:$D$2228)</f>
        <v>0</v>
      </c>
      <c r="F928" s="19">
        <f>SUMIF('C2'!$B$6:$B$2228,B928,'C2'!$D$6:$D$2228)</f>
        <v>0</v>
      </c>
      <c r="G928" s="19">
        <f>SUMIF('C3'!$B$6:$B$2228,B928,'C3'!$D$6:$D$2228)</f>
        <v>0</v>
      </c>
      <c r="H928" s="22"/>
      <c r="I928" s="22"/>
      <c r="J928" s="4" t="s">
        <v>851</v>
      </c>
      <c r="K928" s="4" t="s">
        <v>855</v>
      </c>
    </row>
    <row r="929" spans="2:11">
      <c r="B929" s="1">
        <v>51123</v>
      </c>
      <c r="C929" s="4" t="s">
        <v>975</v>
      </c>
      <c r="D929" s="19">
        <f t="shared" si="14"/>
        <v>0</v>
      </c>
      <c r="E929" s="19">
        <f>SUMIF('C1'!$B$6:$B$2228,B929,'C1'!$D$6:$D$2228)</f>
        <v>0</v>
      </c>
      <c r="F929" s="19">
        <f>SUMIF('C2'!$B$6:$B$2228,B929,'C2'!$D$6:$D$2228)</f>
        <v>0</v>
      </c>
      <c r="G929" s="19">
        <f>SUMIF('C3'!$B$6:$B$2228,B929,'C3'!$D$6:$D$2228)</f>
        <v>0</v>
      </c>
      <c r="H929" s="22"/>
      <c r="I929" s="22"/>
      <c r="J929" s="4" t="s">
        <v>851</v>
      </c>
      <c r="K929" s="4" t="s">
        <v>855</v>
      </c>
    </row>
    <row r="930" spans="2:11">
      <c r="B930" s="1">
        <v>51124</v>
      </c>
      <c r="C930" s="4" t="s">
        <v>976</v>
      </c>
      <c r="D930" s="19">
        <f t="shared" si="14"/>
        <v>0</v>
      </c>
      <c r="E930" s="19">
        <f>SUMIF('C1'!$B$6:$B$2228,B930,'C1'!$D$6:$D$2228)</f>
        <v>0</v>
      </c>
      <c r="F930" s="19">
        <f>SUMIF('C2'!$B$6:$B$2228,B930,'C2'!$D$6:$D$2228)</f>
        <v>0</v>
      </c>
      <c r="G930" s="19">
        <f>SUMIF('C3'!$B$6:$B$2228,B930,'C3'!$D$6:$D$2228)</f>
        <v>0</v>
      </c>
      <c r="H930" s="22"/>
      <c r="I930" s="22"/>
      <c r="J930" s="4" t="s">
        <v>851</v>
      </c>
      <c r="K930" s="4" t="s">
        <v>855</v>
      </c>
    </row>
    <row r="931" spans="2:11">
      <c r="B931" s="1">
        <v>51125</v>
      </c>
      <c r="C931" s="4" t="s">
        <v>977</v>
      </c>
      <c r="D931" s="19">
        <f t="shared" si="14"/>
        <v>0</v>
      </c>
      <c r="E931" s="19">
        <f>SUMIF('C1'!$B$6:$B$2228,B931,'C1'!$D$6:$D$2228)</f>
        <v>0</v>
      </c>
      <c r="F931" s="19">
        <f>SUMIF('C2'!$B$6:$B$2228,B931,'C2'!$D$6:$D$2228)</f>
        <v>0</v>
      </c>
      <c r="G931" s="19">
        <f>SUMIF('C3'!$B$6:$B$2228,B931,'C3'!$D$6:$D$2228)</f>
        <v>0</v>
      </c>
      <c r="H931" s="22"/>
      <c r="I931" s="22"/>
      <c r="J931" s="4" t="s">
        <v>851</v>
      </c>
      <c r="K931" s="4" t="s">
        <v>855</v>
      </c>
    </row>
    <row r="932" spans="2:11">
      <c r="B932" s="1">
        <v>51126</v>
      </c>
      <c r="C932" s="4" t="s">
        <v>978</v>
      </c>
      <c r="D932" s="19">
        <f t="shared" si="14"/>
        <v>0</v>
      </c>
      <c r="E932" s="19">
        <f>SUMIF('C1'!$B$6:$B$2228,B932,'C1'!$D$6:$D$2228)</f>
        <v>0</v>
      </c>
      <c r="F932" s="19">
        <f>SUMIF('C2'!$B$6:$B$2228,B932,'C2'!$D$6:$D$2228)</f>
        <v>0</v>
      </c>
      <c r="G932" s="19">
        <f>SUMIF('C3'!$B$6:$B$2228,B932,'C3'!$D$6:$D$2228)</f>
        <v>0</v>
      </c>
      <c r="H932" s="22"/>
      <c r="I932" s="22"/>
      <c r="J932" s="4" t="s">
        <v>851</v>
      </c>
      <c r="K932" s="4" t="s">
        <v>855</v>
      </c>
    </row>
    <row r="933" spans="2:11">
      <c r="B933" s="1">
        <v>51127</v>
      </c>
      <c r="C933" s="4" t="s">
        <v>979</v>
      </c>
      <c r="D933" s="19">
        <f t="shared" si="14"/>
        <v>0</v>
      </c>
      <c r="E933" s="19">
        <f>SUMIF('C1'!$B$6:$B$2228,B933,'C1'!$D$6:$D$2228)</f>
        <v>0</v>
      </c>
      <c r="F933" s="19">
        <f>SUMIF('C2'!$B$6:$B$2228,B933,'C2'!$D$6:$D$2228)</f>
        <v>0</v>
      </c>
      <c r="G933" s="19">
        <f>SUMIF('C3'!$B$6:$B$2228,B933,'C3'!$D$6:$D$2228)</f>
        <v>0</v>
      </c>
      <c r="H933" s="22"/>
      <c r="I933" s="22"/>
      <c r="J933" s="4" t="s">
        <v>851</v>
      </c>
      <c r="K933" s="4" t="s">
        <v>855</v>
      </c>
    </row>
    <row r="934" spans="2:11">
      <c r="B934" s="1">
        <v>51128</v>
      </c>
      <c r="C934" s="4" t="s">
        <v>980</v>
      </c>
      <c r="D934" s="19">
        <f t="shared" si="14"/>
        <v>0</v>
      </c>
      <c r="E934" s="19">
        <f>SUMIF('C1'!$B$6:$B$2228,B934,'C1'!$D$6:$D$2228)</f>
        <v>0</v>
      </c>
      <c r="F934" s="19">
        <f>SUMIF('C2'!$B$6:$B$2228,B934,'C2'!$D$6:$D$2228)</f>
        <v>0</v>
      </c>
      <c r="G934" s="19">
        <f>SUMIF('C3'!$B$6:$B$2228,B934,'C3'!$D$6:$D$2228)</f>
        <v>0</v>
      </c>
      <c r="H934" s="22"/>
      <c r="I934" s="22"/>
      <c r="J934" s="4" t="s">
        <v>851</v>
      </c>
      <c r="K934" s="4" t="s">
        <v>855</v>
      </c>
    </row>
    <row r="935" spans="2:11">
      <c r="B935" s="1">
        <v>51129</v>
      </c>
      <c r="C935" s="4" t="s">
        <v>981</v>
      </c>
      <c r="D935" s="19">
        <f t="shared" si="14"/>
        <v>0</v>
      </c>
      <c r="E935" s="19">
        <f>SUMIF('C1'!$B$6:$B$2228,B935,'C1'!$D$6:$D$2228)</f>
        <v>0</v>
      </c>
      <c r="F935" s="19">
        <f>SUMIF('C2'!$B$6:$B$2228,B935,'C2'!$D$6:$D$2228)</f>
        <v>0</v>
      </c>
      <c r="G935" s="19">
        <f>SUMIF('C3'!$B$6:$B$2228,B935,'C3'!$D$6:$D$2228)</f>
        <v>0</v>
      </c>
      <c r="H935" s="22"/>
      <c r="I935" s="22"/>
      <c r="J935" s="4" t="s">
        <v>851</v>
      </c>
      <c r="K935" s="4" t="s">
        <v>855</v>
      </c>
    </row>
    <row r="936" spans="2:11">
      <c r="B936" s="1">
        <v>51130</v>
      </c>
      <c r="C936" s="4" t="s">
        <v>982</v>
      </c>
      <c r="D936" s="19">
        <f t="shared" si="14"/>
        <v>0</v>
      </c>
      <c r="E936" s="19">
        <f>SUMIF('C1'!$B$6:$B$2228,B936,'C1'!$D$6:$D$2228)</f>
        <v>0</v>
      </c>
      <c r="F936" s="19">
        <f>SUMIF('C2'!$B$6:$B$2228,B936,'C2'!$D$6:$D$2228)</f>
        <v>0</v>
      </c>
      <c r="G936" s="19">
        <f>SUMIF('C3'!$B$6:$B$2228,B936,'C3'!$D$6:$D$2228)</f>
        <v>0</v>
      </c>
      <c r="H936" s="22"/>
      <c r="I936" s="22"/>
      <c r="J936" s="4" t="s">
        <v>851</v>
      </c>
      <c r="K936" s="4" t="s">
        <v>855</v>
      </c>
    </row>
    <row r="937" spans="2:11">
      <c r="B937" s="1">
        <v>51131</v>
      </c>
      <c r="C937" s="4" t="s">
        <v>983</v>
      </c>
      <c r="D937" s="19">
        <f t="shared" si="14"/>
        <v>0</v>
      </c>
      <c r="E937" s="19">
        <f>SUMIF('C1'!$B$6:$B$2228,B937,'C1'!$D$6:$D$2228)</f>
        <v>0</v>
      </c>
      <c r="F937" s="19">
        <f>SUMIF('C2'!$B$6:$B$2228,B937,'C2'!$D$6:$D$2228)</f>
        <v>0</v>
      </c>
      <c r="G937" s="19">
        <f>SUMIF('C3'!$B$6:$B$2228,B937,'C3'!$D$6:$D$2228)</f>
        <v>0</v>
      </c>
      <c r="H937" s="22"/>
      <c r="I937" s="22"/>
      <c r="J937" s="4" t="s">
        <v>851</v>
      </c>
      <c r="K937" s="4" t="s">
        <v>855</v>
      </c>
    </row>
    <row r="938" spans="2:11">
      <c r="B938" s="1">
        <v>51132</v>
      </c>
      <c r="C938" s="4" t="s">
        <v>984</v>
      </c>
      <c r="D938" s="19">
        <f t="shared" si="14"/>
        <v>0</v>
      </c>
      <c r="E938" s="19">
        <f>SUMIF('C1'!$B$6:$B$2228,B938,'C1'!$D$6:$D$2228)</f>
        <v>0</v>
      </c>
      <c r="F938" s="19">
        <f>SUMIF('C2'!$B$6:$B$2228,B938,'C2'!$D$6:$D$2228)</f>
        <v>0</v>
      </c>
      <c r="G938" s="19">
        <f>SUMIF('C3'!$B$6:$B$2228,B938,'C3'!$D$6:$D$2228)</f>
        <v>0</v>
      </c>
      <c r="H938" s="22"/>
      <c r="I938" s="22"/>
      <c r="J938" s="4" t="s">
        <v>851</v>
      </c>
      <c r="K938" s="4" t="s">
        <v>855</v>
      </c>
    </row>
    <row r="939" spans="2:11">
      <c r="B939" s="1">
        <v>51133</v>
      </c>
      <c r="C939" s="4" t="s">
        <v>985</v>
      </c>
      <c r="D939" s="19">
        <f t="shared" si="14"/>
        <v>0</v>
      </c>
      <c r="E939" s="19">
        <f>SUMIF('C1'!$B$6:$B$2228,B939,'C1'!$D$6:$D$2228)</f>
        <v>0</v>
      </c>
      <c r="F939" s="19">
        <f>SUMIF('C2'!$B$6:$B$2228,B939,'C2'!$D$6:$D$2228)</f>
        <v>0</v>
      </c>
      <c r="G939" s="19">
        <f>SUMIF('C3'!$B$6:$B$2228,B939,'C3'!$D$6:$D$2228)</f>
        <v>0</v>
      </c>
      <c r="H939" s="22"/>
      <c r="I939" s="22"/>
      <c r="J939" s="4" t="s">
        <v>851</v>
      </c>
      <c r="K939" s="4" t="s">
        <v>855</v>
      </c>
    </row>
    <row r="940" spans="2:11">
      <c r="B940" s="1">
        <v>51134</v>
      </c>
      <c r="C940" s="4" t="s">
        <v>986</v>
      </c>
      <c r="D940" s="19">
        <f t="shared" si="14"/>
        <v>0</v>
      </c>
      <c r="E940" s="19">
        <f>SUMIF('C1'!$B$6:$B$2228,B940,'C1'!$D$6:$D$2228)</f>
        <v>0</v>
      </c>
      <c r="F940" s="19">
        <f>SUMIF('C2'!$B$6:$B$2228,B940,'C2'!$D$6:$D$2228)</f>
        <v>0</v>
      </c>
      <c r="G940" s="19">
        <f>SUMIF('C3'!$B$6:$B$2228,B940,'C3'!$D$6:$D$2228)</f>
        <v>0</v>
      </c>
      <c r="H940" s="22"/>
      <c r="I940" s="22"/>
      <c r="J940" s="4" t="s">
        <v>851</v>
      </c>
      <c r="K940" s="4" t="s">
        <v>855</v>
      </c>
    </row>
    <row r="941" spans="2:11">
      <c r="B941" s="1">
        <v>51135</v>
      </c>
      <c r="C941" s="4" t="s">
        <v>987</v>
      </c>
      <c r="D941" s="19">
        <f t="shared" si="14"/>
        <v>0</v>
      </c>
      <c r="E941" s="19">
        <f>SUMIF('C1'!$B$6:$B$2228,B941,'C1'!$D$6:$D$2228)</f>
        <v>0</v>
      </c>
      <c r="F941" s="19">
        <f>SUMIF('C2'!$B$6:$B$2228,B941,'C2'!$D$6:$D$2228)</f>
        <v>0</v>
      </c>
      <c r="G941" s="19">
        <f>SUMIF('C3'!$B$6:$B$2228,B941,'C3'!$D$6:$D$2228)</f>
        <v>0</v>
      </c>
      <c r="H941" s="22"/>
      <c r="I941" s="22"/>
      <c r="J941" s="4" t="s">
        <v>851</v>
      </c>
      <c r="K941" s="4" t="s">
        <v>855</v>
      </c>
    </row>
    <row r="942" spans="2:11">
      <c r="B942" s="1">
        <v>51136</v>
      </c>
      <c r="C942" s="4" t="s">
        <v>988</v>
      </c>
      <c r="D942" s="19">
        <f t="shared" si="14"/>
        <v>0</v>
      </c>
      <c r="E942" s="19">
        <f>SUMIF('C1'!$B$6:$B$2228,B942,'C1'!$D$6:$D$2228)</f>
        <v>0</v>
      </c>
      <c r="F942" s="19">
        <f>SUMIF('C2'!$B$6:$B$2228,B942,'C2'!$D$6:$D$2228)</f>
        <v>0</v>
      </c>
      <c r="G942" s="19">
        <f>SUMIF('C3'!$B$6:$B$2228,B942,'C3'!$D$6:$D$2228)</f>
        <v>0</v>
      </c>
      <c r="H942" s="22"/>
      <c r="I942" s="22"/>
      <c r="J942" s="4" t="s">
        <v>851</v>
      </c>
      <c r="K942" s="4" t="s">
        <v>855</v>
      </c>
    </row>
    <row r="943" spans="2:11">
      <c r="B943" s="1">
        <v>51137</v>
      </c>
      <c r="C943" s="4" t="s">
        <v>989</v>
      </c>
      <c r="D943" s="19">
        <f t="shared" si="14"/>
        <v>0</v>
      </c>
      <c r="E943" s="19">
        <f>SUMIF('C1'!$B$6:$B$2228,B943,'C1'!$D$6:$D$2228)</f>
        <v>0</v>
      </c>
      <c r="F943" s="19">
        <f>SUMIF('C2'!$B$6:$B$2228,B943,'C2'!$D$6:$D$2228)</f>
        <v>0</v>
      </c>
      <c r="G943" s="19">
        <f>SUMIF('C3'!$B$6:$B$2228,B943,'C3'!$D$6:$D$2228)</f>
        <v>0</v>
      </c>
      <c r="H943" s="22"/>
      <c r="I943" s="22"/>
      <c r="J943" s="4" t="s">
        <v>851</v>
      </c>
      <c r="K943" s="4" t="s">
        <v>855</v>
      </c>
    </row>
    <row r="944" spans="2:11">
      <c r="B944" s="1">
        <v>51138</v>
      </c>
      <c r="C944" s="4" t="s">
        <v>990</v>
      </c>
      <c r="D944" s="19">
        <f t="shared" si="14"/>
        <v>0</v>
      </c>
      <c r="E944" s="19">
        <f>SUMIF('C1'!$B$6:$B$2228,B944,'C1'!$D$6:$D$2228)</f>
        <v>0</v>
      </c>
      <c r="F944" s="19">
        <f>SUMIF('C2'!$B$6:$B$2228,B944,'C2'!$D$6:$D$2228)</f>
        <v>0</v>
      </c>
      <c r="G944" s="19">
        <f>SUMIF('C3'!$B$6:$B$2228,B944,'C3'!$D$6:$D$2228)</f>
        <v>0</v>
      </c>
      <c r="H944" s="22"/>
      <c r="I944" s="22"/>
      <c r="J944" s="4" t="s">
        <v>851</v>
      </c>
      <c r="K944" s="4" t="s">
        <v>855</v>
      </c>
    </row>
    <row r="945" spans="2:11">
      <c r="B945" s="1">
        <v>51139</v>
      </c>
      <c r="C945" s="4" t="s">
        <v>991</v>
      </c>
      <c r="D945" s="19">
        <f t="shared" si="14"/>
        <v>0</v>
      </c>
      <c r="E945" s="19">
        <f>SUMIF('C1'!$B$6:$B$2228,B945,'C1'!$D$6:$D$2228)</f>
        <v>0</v>
      </c>
      <c r="F945" s="19">
        <f>SUMIF('C2'!$B$6:$B$2228,B945,'C2'!$D$6:$D$2228)</f>
        <v>0</v>
      </c>
      <c r="G945" s="19">
        <f>SUMIF('C3'!$B$6:$B$2228,B945,'C3'!$D$6:$D$2228)</f>
        <v>0</v>
      </c>
      <c r="H945" s="22"/>
      <c r="I945" s="22"/>
      <c r="J945" s="4" t="s">
        <v>851</v>
      </c>
      <c r="K945" s="4" t="s">
        <v>855</v>
      </c>
    </row>
    <row r="946" spans="2:11">
      <c r="B946" s="1">
        <v>51140</v>
      </c>
      <c r="C946" s="4" t="s">
        <v>992</v>
      </c>
      <c r="D946" s="19">
        <f t="shared" si="14"/>
        <v>0</v>
      </c>
      <c r="E946" s="19">
        <f>SUMIF('C1'!$B$6:$B$2228,B946,'C1'!$D$6:$D$2228)</f>
        <v>0</v>
      </c>
      <c r="F946" s="19">
        <f>SUMIF('C2'!$B$6:$B$2228,B946,'C2'!$D$6:$D$2228)</f>
        <v>0</v>
      </c>
      <c r="G946" s="19">
        <f>SUMIF('C3'!$B$6:$B$2228,B946,'C3'!$D$6:$D$2228)</f>
        <v>0</v>
      </c>
      <c r="H946" s="22"/>
      <c r="I946" s="22"/>
      <c r="J946" s="4" t="s">
        <v>851</v>
      </c>
      <c r="K946" s="4" t="s">
        <v>855</v>
      </c>
    </row>
    <row r="947" spans="2:11">
      <c r="B947" s="1">
        <v>51141</v>
      </c>
      <c r="C947" s="4" t="s">
        <v>993</v>
      </c>
      <c r="D947" s="19">
        <f t="shared" si="14"/>
        <v>0</v>
      </c>
      <c r="E947" s="19">
        <f>SUMIF('C1'!$B$6:$B$2228,B947,'C1'!$D$6:$D$2228)</f>
        <v>0</v>
      </c>
      <c r="F947" s="19">
        <f>SUMIF('C2'!$B$6:$B$2228,B947,'C2'!$D$6:$D$2228)</f>
        <v>0</v>
      </c>
      <c r="G947" s="19">
        <f>SUMIF('C3'!$B$6:$B$2228,B947,'C3'!$D$6:$D$2228)</f>
        <v>0</v>
      </c>
      <c r="H947" s="22"/>
      <c r="I947" s="22"/>
      <c r="J947" s="4" t="s">
        <v>851</v>
      </c>
      <c r="K947" s="4" t="s">
        <v>855</v>
      </c>
    </row>
    <row r="948" spans="2:11">
      <c r="B948" s="1">
        <v>51142</v>
      </c>
      <c r="C948" s="4" t="s">
        <v>994</v>
      </c>
      <c r="D948" s="19">
        <f t="shared" si="14"/>
        <v>0</v>
      </c>
      <c r="E948" s="19">
        <f>SUMIF('C1'!$B$6:$B$2228,B948,'C1'!$D$6:$D$2228)</f>
        <v>0</v>
      </c>
      <c r="F948" s="19">
        <f>SUMIF('C2'!$B$6:$B$2228,B948,'C2'!$D$6:$D$2228)</f>
        <v>0</v>
      </c>
      <c r="G948" s="19">
        <f>SUMIF('C3'!$B$6:$B$2228,B948,'C3'!$D$6:$D$2228)</f>
        <v>0</v>
      </c>
      <c r="H948" s="22"/>
      <c r="I948" s="22"/>
      <c r="J948" s="4" t="s">
        <v>851</v>
      </c>
      <c r="K948" s="4" t="s">
        <v>855</v>
      </c>
    </row>
    <row r="949" spans="2:11">
      <c r="B949" s="1">
        <v>51143</v>
      </c>
      <c r="C949" s="4" t="s">
        <v>995</v>
      </c>
      <c r="D949" s="19">
        <f t="shared" si="14"/>
        <v>0</v>
      </c>
      <c r="E949" s="19">
        <f>SUMIF('C1'!$B$6:$B$2228,B949,'C1'!$D$6:$D$2228)</f>
        <v>0</v>
      </c>
      <c r="F949" s="19">
        <f>SUMIF('C2'!$B$6:$B$2228,B949,'C2'!$D$6:$D$2228)</f>
        <v>0</v>
      </c>
      <c r="G949" s="19">
        <f>SUMIF('C3'!$B$6:$B$2228,B949,'C3'!$D$6:$D$2228)</f>
        <v>0</v>
      </c>
      <c r="H949" s="22"/>
      <c r="I949" s="22"/>
      <c r="J949" s="4" t="s">
        <v>851</v>
      </c>
      <c r="K949" s="4" t="s">
        <v>855</v>
      </c>
    </row>
    <row r="950" spans="2:11">
      <c r="B950" s="1">
        <v>51144</v>
      </c>
      <c r="C950" s="4" t="s">
        <v>996</v>
      </c>
      <c r="D950" s="19">
        <f t="shared" si="14"/>
        <v>0</v>
      </c>
      <c r="E950" s="19">
        <f>SUMIF('C1'!$B$6:$B$2228,B950,'C1'!$D$6:$D$2228)</f>
        <v>0</v>
      </c>
      <c r="F950" s="19">
        <f>SUMIF('C2'!$B$6:$B$2228,B950,'C2'!$D$6:$D$2228)</f>
        <v>0</v>
      </c>
      <c r="G950" s="19">
        <f>SUMIF('C3'!$B$6:$B$2228,B950,'C3'!$D$6:$D$2228)</f>
        <v>0</v>
      </c>
      <c r="H950" s="22"/>
      <c r="I950" s="22"/>
      <c r="J950" s="4" t="s">
        <v>851</v>
      </c>
      <c r="K950" s="4" t="s">
        <v>855</v>
      </c>
    </row>
    <row r="951" spans="2:11">
      <c r="B951" s="1">
        <v>51145</v>
      </c>
      <c r="C951" s="4" t="s">
        <v>997</v>
      </c>
      <c r="D951" s="19">
        <f t="shared" si="14"/>
        <v>0</v>
      </c>
      <c r="E951" s="19">
        <f>SUMIF('C1'!$B$6:$B$2228,B951,'C1'!$D$6:$D$2228)</f>
        <v>0</v>
      </c>
      <c r="F951" s="19">
        <f>SUMIF('C2'!$B$6:$B$2228,B951,'C2'!$D$6:$D$2228)</f>
        <v>0</v>
      </c>
      <c r="G951" s="19">
        <f>SUMIF('C3'!$B$6:$B$2228,B951,'C3'!$D$6:$D$2228)</f>
        <v>0</v>
      </c>
      <c r="H951" s="22"/>
      <c r="I951" s="22"/>
      <c r="J951" s="4" t="s">
        <v>851</v>
      </c>
      <c r="K951" s="4" t="s">
        <v>855</v>
      </c>
    </row>
    <row r="952" spans="2:11">
      <c r="B952" s="1">
        <v>51146</v>
      </c>
      <c r="C952" s="4" t="s">
        <v>998</v>
      </c>
      <c r="D952" s="19">
        <f t="shared" si="14"/>
        <v>0</v>
      </c>
      <c r="E952" s="19">
        <f>SUMIF('C1'!$B$6:$B$2228,B952,'C1'!$D$6:$D$2228)</f>
        <v>0</v>
      </c>
      <c r="F952" s="19">
        <f>SUMIF('C2'!$B$6:$B$2228,B952,'C2'!$D$6:$D$2228)</f>
        <v>0</v>
      </c>
      <c r="G952" s="19">
        <f>SUMIF('C3'!$B$6:$B$2228,B952,'C3'!$D$6:$D$2228)</f>
        <v>0</v>
      </c>
      <c r="H952" s="22"/>
      <c r="I952" s="22"/>
      <c r="J952" s="4" t="s">
        <v>851</v>
      </c>
      <c r="K952" s="4" t="s">
        <v>855</v>
      </c>
    </row>
    <row r="953" spans="2:11">
      <c r="B953" s="1">
        <v>51147</v>
      </c>
      <c r="C953" s="4" t="s">
        <v>999</v>
      </c>
      <c r="D953" s="19">
        <f t="shared" si="14"/>
        <v>0</v>
      </c>
      <c r="E953" s="19">
        <f>SUMIF('C1'!$B$6:$B$2228,B953,'C1'!$D$6:$D$2228)</f>
        <v>0</v>
      </c>
      <c r="F953" s="19">
        <f>SUMIF('C2'!$B$6:$B$2228,B953,'C2'!$D$6:$D$2228)</f>
        <v>0</v>
      </c>
      <c r="G953" s="19">
        <f>SUMIF('C3'!$B$6:$B$2228,B953,'C3'!$D$6:$D$2228)</f>
        <v>0</v>
      </c>
      <c r="H953" s="22"/>
      <c r="I953" s="22"/>
      <c r="J953" s="4" t="s">
        <v>851</v>
      </c>
      <c r="K953" s="4" t="s">
        <v>855</v>
      </c>
    </row>
    <row r="954" spans="2:11">
      <c r="B954" s="1">
        <v>51148</v>
      </c>
      <c r="C954" s="4" t="s">
        <v>1000</v>
      </c>
      <c r="D954" s="19">
        <f t="shared" si="14"/>
        <v>0</v>
      </c>
      <c r="E954" s="19">
        <f>SUMIF('C1'!$B$6:$B$2228,B954,'C1'!$D$6:$D$2228)</f>
        <v>0</v>
      </c>
      <c r="F954" s="19">
        <f>SUMIF('C2'!$B$6:$B$2228,B954,'C2'!$D$6:$D$2228)</f>
        <v>0</v>
      </c>
      <c r="G954" s="19">
        <f>SUMIF('C3'!$B$6:$B$2228,B954,'C3'!$D$6:$D$2228)</f>
        <v>0</v>
      </c>
      <c r="H954" s="22"/>
      <c r="I954" s="22"/>
      <c r="J954" s="4" t="s">
        <v>851</v>
      </c>
      <c r="K954" s="4" t="s">
        <v>855</v>
      </c>
    </row>
    <row r="955" spans="2:11">
      <c r="B955" s="1">
        <v>51149</v>
      </c>
      <c r="C955" s="4" t="s">
        <v>1001</v>
      </c>
      <c r="D955" s="19">
        <f t="shared" si="14"/>
        <v>0</v>
      </c>
      <c r="E955" s="19">
        <f>SUMIF('C1'!$B$6:$B$2228,B955,'C1'!$D$6:$D$2228)</f>
        <v>0</v>
      </c>
      <c r="F955" s="19">
        <f>SUMIF('C2'!$B$6:$B$2228,B955,'C2'!$D$6:$D$2228)</f>
        <v>0</v>
      </c>
      <c r="G955" s="19">
        <f>SUMIF('C3'!$B$6:$B$2228,B955,'C3'!$D$6:$D$2228)</f>
        <v>0</v>
      </c>
      <c r="H955" s="22"/>
      <c r="I955" s="22"/>
      <c r="J955" s="4" t="s">
        <v>851</v>
      </c>
      <c r="K955" s="4" t="s">
        <v>855</v>
      </c>
    </row>
    <row r="956" spans="2:11">
      <c r="B956" s="1">
        <v>51150</v>
      </c>
      <c r="C956" s="4" t="s">
        <v>1002</v>
      </c>
      <c r="D956" s="19">
        <f t="shared" si="14"/>
        <v>0</v>
      </c>
      <c r="E956" s="19">
        <f>SUMIF('C1'!$B$6:$B$2228,B956,'C1'!$D$6:$D$2228)</f>
        <v>0</v>
      </c>
      <c r="F956" s="19">
        <f>SUMIF('C2'!$B$6:$B$2228,B956,'C2'!$D$6:$D$2228)</f>
        <v>0</v>
      </c>
      <c r="G956" s="19">
        <f>SUMIF('C3'!$B$6:$B$2228,B956,'C3'!$D$6:$D$2228)</f>
        <v>0</v>
      </c>
      <c r="H956" s="22"/>
      <c r="I956" s="22"/>
      <c r="J956" s="4" t="s">
        <v>851</v>
      </c>
      <c r="K956" s="4" t="s">
        <v>855</v>
      </c>
    </row>
    <row r="957" spans="2:11">
      <c r="B957" s="1">
        <v>51151</v>
      </c>
      <c r="C957" s="4" t="s">
        <v>1003</v>
      </c>
      <c r="D957" s="19">
        <f t="shared" si="14"/>
        <v>0</v>
      </c>
      <c r="E957" s="19">
        <f>SUMIF('C1'!$B$6:$B$2228,B957,'C1'!$D$6:$D$2228)</f>
        <v>0</v>
      </c>
      <c r="F957" s="19">
        <f>SUMIF('C2'!$B$6:$B$2228,B957,'C2'!$D$6:$D$2228)</f>
        <v>0</v>
      </c>
      <c r="G957" s="19">
        <f>SUMIF('C3'!$B$6:$B$2228,B957,'C3'!$D$6:$D$2228)</f>
        <v>0</v>
      </c>
      <c r="H957" s="22"/>
      <c r="I957" s="22"/>
      <c r="J957" s="4" t="s">
        <v>851</v>
      </c>
      <c r="K957" s="4" t="s">
        <v>852</v>
      </c>
    </row>
    <row r="958" spans="2:11">
      <c r="B958" s="1">
        <v>51152</v>
      </c>
      <c r="C958" s="4" t="s">
        <v>1004</v>
      </c>
      <c r="D958" s="19">
        <f t="shared" si="14"/>
        <v>0</v>
      </c>
      <c r="E958" s="19">
        <f>SUMIF('C1'!$B$6:$B$2228,B958,'C1'!$D$6:$D$2228)</f>
        <v>0</v>
      </c>
      <c r="F958" s="19">
        <f>SUMIF('C2'!$B$6:$B$2228,B958,'C2'!$D$6:$D$2228)</f>
        <v>0</v>
      </c>
      <c r="G958" s="19">
        <f>SUMIF('C3'!$B$6:$B$2228,B958,'C3'!$D$6:$D$2228)</f>
        <v>0</v>
      </c>
      <c r="H958" s="22"/>
      <c r="I958" s="22"/>
      <c r="J958" s="4" t="s">
        <v>851</v>
      </c>
      <c r="K958" s="4" t="s">
        <v>852</v>
      </c>
    </row>
    <row r="959" spans="2:11">
      <c r="B959" s="1">
        <v>51153</v>
      </c>
      <c r="C959" s="4" t="s">
        <v>1005</v>
      </c>
      <c r="D959" s="19">
        <f t="shared" si="14"/>
        <v>0</v>
      </c>
      <c r="E959" s="19">
        <f>SUMIF('C1'!$B$6:$B$2228,B959,'C1'!$D$6:$D$2228)</f>
        <v>0</v>
      </c>
      <c r="F959" s="19">
        <f>SUMIF('C2'!$B$6:$B$2228,B959,'C2'!$D$6:$D$2228)</f>
        <v>0</v>
      </c>
      <c r="G959" s="19">
        <f>SUMIF('C3'!$B$6:$B$2228,B959,'C3'!$D$6:$D$2228)</f>
        <v>0</v>
      </c>
      <c r="H959" s="22"/>
      <c r="I959" s="22"/>
      <c r="J959" s="4" t="s">
        <v>851</v>
      </c>
      <c r="K959" s="4" t="s">
        <v>852</v>
      </c>
    </row>
    <row r="960" spans="2:11">
      <c r="B960" s="1">
        <v>51154</v>
      </c>
      <c r="C960" s="4" t="s">
        <v>1006</v>
      </c>
      <c r="D960" s="19">
        <f t="shared" si="14"/>
        <v>0</v>
      </c>
      <c r="E960" s="19">
        <f>SUMIF('C1'!$B$6:$B$2228,B960,'C1'!$D$6:$D$2228)</f>
        <v>0</v>
      </c>
      <c r="F960" s="19">
        <f>SUMIF('C2'!$B$6:$B$2228,B960,'C2'!$D$6:$D$2228)</f>
        <v>0</v>
      </c>
      <c r="G960" s="19">
        <f>SUMIF('C3'!$B$6:$B$2228,B960,'C3'!$D$6:$D$2228)</f>
        <v>0</v>
      </c>
      <c r="H960" s="22"/>
      <c r="I960" s="22"/>
      <c r="J960" s="4" t="s">
        <v>851</v>
      </c>
      <c r="K960" s="4" t="s">
        <v>852</v>
      </c>
    </row>
    <row r="961" spans="2:11">
      <c r="B961" s="1">
        <v>51155</v>
      </c>
      <c r="C961" s="4" t="s">
        <v>1007</v>
      </c>
      <c r="D961" s="19">
        <f t="shared" si="14"/>
        <v>0</v>
      </c>
      <c r="E961" s="19">
        <f>SUMIF('C1'!$B$6:$B$2228,B961,'C1'!$D$6:$D$2228)</f>
        <v>0</v>
      </c>
      <c r="F961" s="19">
        <f>SUMIF('C2'!$B$6:$B$2228,B961,'C2'!$D$6:$D$2228)</f>
        <v>0</v>
      </c>
      <c r="G961" s="19">
        <f>SUMIF('C3'!$B$6:$B$2228,B961,'C3'!$D$6:$D$2228)</f>
        <v>0</v>
      </c>
      <c r="H961" s="22"/>
      <c r="I961" s="22"/>
      <c r="J961" s="4" t="s">
        <v>851</v>
      </c>
      <c r="K961" s="4" t="s">
        <v>852</v>
      </c>
    </row>
    <row r="962" spans="2:11">
      <c r="B962" s="1">
        <v>51156</v>
      </c>
      <c r="C962" s="4" t="s">
        <v>1008</v>
      </c>
      <c r="D962" s="19">
        <f t="shared" si="14"/>
        <v>0</v>
      </c>
      <c r="E962" s="19">
        <f>SUMIF('C1'!$B$6:$B$2228,B962,'C1'!$D$6:$D$2228)</f>
        <v>0</v>
      </c>
      <c r="F962" s="19">
        <f>SUMIF('C2'!$B$6:$B$2228,B962,'C2'!$D$6:$D$2228)</f>
        <v>0</v>
      </c>
      <c r="G962" s="19">
        <f>SUMIF('C3'!$B$6:$B$2228,B962,'C3'!$D$6:$D$2228)</f>
        <v>0</v>
      </c>
      <c r="H962" s="22"/>
      <c r="I962" s="22"/>
      <c r="J962" s="4" t="s">
        <v>851</v>
      </c>
      <c r="K962" s="4" t="s">
        <v>852</v>
      </c>
    </row>
    <row r="963" spans="2:11">
      <c r="B963" s="1">
        <v>51157</v>
      </c>
      <c r="C963" s="4" t="s">
        <v>1009</v>
      </c>
      <c r="D963" s="19">
        <f t="shared" si="14"/>
        <v>0</v>
      </c>
      <c r="E963" s="19">
        <f>SUMIF('C1'!$B$6:$B$2228,B963,'C1'!$D$6:$D$2228)</f>
        <v>0</v>
      </c>
      <c r="F963" s="19">
        <f>SUMIF('C2'!$B$6:$B$2228,B963,'C2'!$D$6:$D$2228)</f>
        <v>0</v>
      </c>
      <c r="G963" s="19">
        <f>SUMIF('C3'!$B$6:$B$2228,B963,'C3'!$D$6:$D$2228)</f>
        <v>0</v>
      </c>
      <c r="H963" s="22"/>
      <c r="I963" s="22"/>
      <c r="J963" s="4" t="s">
        <v>851</v>
      </c>
      <c r="K963" s="4" t="s">
        <v>852</v>
      </c>
    </row>
    <row r="964" spans="2:11">
      <c r="B964" s="1">
        <v>51158</v>
      </c>
      <c r="C964" s="4" t="s">
        <v>1010</v>
      </c>
      <c r="D964" s="19">
        <f t="shared" si="14"/>
        <v>0</v>
      </c>
      <c r="E964" s="19">
        <f>SUMIF('C1'!$B$6:$B$2228,B964,'C1'!$D$6:$D$2228)</f>
        <v>0</v>
      </c>
      <c r="F964" s="19">
        <f>SUMIF('C2'!$B$6:$B$2228,B964,'C2'!$D$6:$D$2228)</f>
        <v>0</v>
      </c>
      <c r="G964" s="19">
        <f>SUMIF('C3'!$B$6:$B$2228,B964,'C3'!$D$6:$D$2228)</f>
        <v>0</v>
      </c>
      <c r="H964" s="22"/>
      <c r="I964" s="22"/>
      <c r="J964" s="4" t="s">
        <v>851</v>
      </c>
      <c r="K964" s="4" t="s">
        <v>852</v>
      </c>
    </row>
    <row r="965" spans="2:11">
      <c r="B965" s="1">
        <v>51159</v>
      </c>
      <c r="C965" s="4" t="s">
        <v>1011</v>
      </c>
      <c r="D965" s="19">
        <f t="shared" si="14"/>
        <v>0</v>
      </c>
      <c r="E965" s="19">
        <f>SUMIF('C1'!$B$6:$B$2228,B965,'C1'!$D$6:$D$2228)</f>
        <v>0</v>
      </c>
      <c r="F965" s="19">
        <f>SUMIF('C2'!$B$6:$B$2228,B965,'C2'!$D$6:$D$2228)</f>
        <v>0</v>
      </c>
      <c r="G965" s="19">
        <f>SUMIF('C3'!$B$6:$B$2228,B965,'C3'!$D$6:$D$2228)</f>
        <v>0</v>
      </c>
      <c r="H965" s="22"/>
      <c r="I965" s="22"/>
      <c r="J965" s="4" t="s">
        <v>851</v>
      </c>
      <c r="K965" s="4" t="s">
        <v>852</v>
      </c>
    </row>
    <row r="966" spans="2:11">
      <c r="B966" s="1">
        <v>51160</v>
      </c>
      <c r="C966" s="4" t="s">
        <v>1012</v>
      </c>
      <c r="D966" s="19">
        <f t="shared" si="14"/>
        <v>0</v>
      </c>
      <c r="E966" s="19">
        <f>SUMIF('C1'!$B$6:$B$2228,B966,'C1'!$D$6:$D$2228)</f>
        <v>0</v>
      </c>
      <c r="F966" s="19">
        <f>SUMIF('C2'!$B$6:$B$2228,B966,'C2'!$D$6:$D$2228)</f>
        <v>0</v>
      </c>
      <c r="G966" s="19">
        <f>SUMIF('C3'!$B$6:$B$2228,B966,'C3'!$D$6:$D$2228)</f>
        <v>0</v>
      </c>
      <c r="H966" s="22"/>
      <c r="I966" s="22"/>
      <c r="J966" s="4" t="s">
        <v>851</v>
      </c>
      <c r="K966" s="4" t="s">
        <v>852</v>
      </c>
    </row>
    <row r="967" spans="2:11">
      <c r="B967" s="1">
        <v>51161</v>
      </c>
      <c r="C967" s="4" t="s">
        <v>1013</v>
      </c>
      <c r="D967" s="19">
        <f t="shared" ref="D967:D1030" si="15">SUM(E967:I967)</f>
        <v>0</v>
      </c>
      <c r="E967" s="19">
        <f>SUMIF('C1'!$B$6:$B$2228,B967,'C1'!$D$6:$D$2228)</f>
        <v>0</v>
      </c>
      <c r="F967" s="19">
        <f>SUMIF('C2'!$B$6:$B$2228,B967,'C2'!$D$6:$D$2228)</f>
        <v>0</v>
      </c>
      <c r="G967" s="19">
        <f>SUMIF('C3'!$B$6:$B$2228,B967,'C3'!$D$6:$D$2228)</f>
        <v>0</v>
      </c>
      <c r="H967" s="22"/>
      <c r="I967" s="22"/>
      <c r="J967" s="4" t="s">
        <v>851</v>
      </c>
      <c r="K967" s="4" t="s">
        <v>852</v>
      </c>
    </row>
    <row r="968" spans="2:11">
      <c r="B968" s="1">
        <v>51162</v>
      </c>
      <c r="C968" s="4" t="s">
        <v>1014</v>
      </c>
      <c r="D968" s="19">
        <f t="shared" si="15"/>
        <v>0</v>
      </c>
      <c r="E968" s="19">
        <f>SUMIF('C1'!$B$6:$B$2228,B968,'C1'!$D$6:$D$2228)</f>
        <v>0</v>
      </c>
      <c r="F968" s="19">
        <f>SUMIF('C2'!$B$6:$B$2228,B968,'C2'!$D$6:$D$2228)</f>
        <v>0</v>
      </c>
      <c r="G968" s="19">
        <f>SUMIF('C3'!$B$6:$B$2228,B968,'C3'!$D$6:$D$2228)</f>
        <v>0</v>
      </c>
      <c r="H968" s="22"/>
      <c r="I968" s="22"/>
      <c r="J968" s="4" t="s">
        <v>851</v>
      </c>
      <c r="K968" s="4" t="s">
        <v>852</v>
      </c>
    </row>
    <row r="969" spans="2:11">
      <c r="B969" s="1">
        <v>51163</v>
      </c>
      <c r="C969" s="4" t="s">
        <v>1015</v>
      </c>
      <c r="D969" s="19">
        <f t="shared" si="15"/>
        <v>0</v>
      </c>
      <c r="E969" s="19">
        <f>SUMIF('C1'!$B$6:$B$2228,B969,'C1'!$D$6:$D$2228)</f>
        <v>0</v>
      </c>
      <c r="F969" s="19">
        <f>SUMIF('C2'!$B$6:$B$2228,B969,'C2'!$D$6:$D$2228)</f>
        <v>0</v>
      </c>
      <c r="G969" s="19">
        <f>SUMIF('C3'!$B$6:$B$2228,B969,'C3'!$D$6:$D$2228)</f>
        <v>0</v>
      </c>
      <c r="H969" s="22"/>
      <c r="I969" s="22"/>
      <c r="J969" s="4" t="s">
        <v>851</v>
      </c>
      <c r="K969" s="4" t="s">
        <v>852</v>
      </c>
    </row>
    <row r="970" spans="2:11">
      <c r="B970" s="1">
        <v>51164</v>
      </c>
      <c r="C970" s="4" t="s">
        <v>1016</v>
      </c>
      <c r="D970" s="19">
        <f t="shared" si="15"/>
        <v>0</v>
      </c>
      <c r="E970" s="19">
        <f>SUMIF('C1'!$B$6:$B$2228,B970,'C1'!$D$6:$D$2228)</f>
        <v>0</v>
      </c>
      <c r="F970" s="19">
        <f>SUMIF('C2'!$B$6:$B$2228,B970,'C2'!$D$6:$D$2228)</f>
        <v>0</v>
      </c>
      <c r="G970" s="19">
        <f>SUMIF('C3'!$B$6:$B$2228,B970,'C3'!$D$6:$D$2228)</f>
        <v>0</v>
      </c>
      <c r="H970" s="22"/>
      <c r="I970" s="22"/>
      <c r="J970" s="4" t="s">
        <v>851</v>
      </c>
      <c r="K970" s="4" t="s">
        <v>852</v>
      </c>
    </row>
    <row r="971" spans="2:11">
      <c r="B971" s="1">
        <v>51165</v>
      </c>
      <c r="C971" s="4" t="s">
        <v>1017</v>
      </c>
      <c r="D971" s="19">
        <f t="shared" si="15"/>
        <v>0</v>
      </c>
      <c r="E971" s="19">
        <f>SUMIF('C1'!$B$6:$B$2228,B971,'C1'!$D$6:$D$2228)</f>
        <v>0</v>
      </c>
      <c r="F971" s="19">
        <f>SUMIF('C2'!$B$6:$B$2228,B971,'C2'!$D$6:$D$2228)</f>
        <v>0</v>
      </c>
      <c r="G971" s="19">
        <f>SUMIF('C3'!$B$6:$B$2228,B971,'C3'!$D$6:$D$2228)</f>
        <v>0</v>
      </c>
      <c r="H971" s="22"/>
      <c r="I971" s="22"/>
      <c r="J971" s="4" t="s">
        <v>851</v>
      </c>
      <c r="K971" s="4" t="s">
        <v>852</v>
      </c>
    </row>
    <row r="972" spans="2:11">
      <c r="B972" s="1">
        <v>51166</v>
      </c>
      <c r="C972" s="4" t="s">
        <v>1018</v>
      </c>
      <c r="D972" s="19">
        <f t="shared" si="15"/>
        <v>0</v>
      </c>
      <c r="E972" s="19">
        <f>SUMIF('C1'!$B$6:$B$2228,B972,'C1'!$D$6:$D$2228)</f>
        <v>0</v>
      </c>
      <c r="F972" s="19">
        <f>SUMIF('C2'!$B$6:$B$2228,B972,'C2'!$D$6:$D$2228)</f>
        <v>0</v>
      </c>
      <c r="G972" s="19">
        <f>SUMIF('C3'!$B$6:$B$2228,B972,'C3'!$D$6:$D$2228)</f>
        <v>0</v>
      </c>
      <c r="H972" s="22"/>
      <c r="I972" s="22"/>
      <c r="J972" s="4" t="s">
        <v>851</v>
      </c>
      <c r="K972" s="4" t="s">
        <v>852</v>
      </c>
    </row>
    <row r="973" spans="2:11">
      <c r="B973" s="1">
        <v>51167</v>
      </c>
      <c r="C973" s="4" t="s">
        <v>1019</v>
      </c>
      <c r="D973" s="19">
        <f t="shared" si="15"/>
        <v>0</v>
      </c>
      <c r="E973" s="19">
        <f>SUMIF('C1'!$B$6:$B$2228,B973,'C1'!$D$6:$D$2228)</f>
        <v>0</v>
      </c>
      <c r="F973" s="19">
        <f>SUMIF('C2'!$B$6:$B$2228,B973,'C2'!$D$6:$D$2228)</f>
        <v>0</v>
      </c>
      <c r="G973" s="19">
        <f>SUMIF('C3'!$B$6:$B$2228,B973,'C3'!$D$6:$D$2228)</f>
        <v>0</v>
      </c>
      <c r="H973" s="22"/>
      <c r="I973" s="22"/>
      <c r="J973" s="4" t="s">
        <v>851</v>
      </c>
      <c r="K973" s="4" t="s">
        <v>852</v>
      </c>
    </row>
    <row r="974" spans="2:11">
      <c r="B974" s="1">
        <v>51168</v>
      </c>
      <c r="C974" s="4" t="s">
        <v>1020</v>
      </c>
      <c r="D974" s="19">
        <f t="shared" si="15"/>
        <v>0</v>
      </c>
      <c r="E974" s="19">
        <f>SUMIF('C1'!$B$6:$B$2228,B974,'C1'!$D$6:$D$2228)</f>
        <v>0</v>
      </c>
      <c r="F974" s="19">
        <f>SUMIF('C2'!$B$6:$B$2228,B974,'C2'!$D$6:$D$2228)</f>
        <v>0</v>
      </c>
      <c r="G974" s="19">
        <f>SUMIF('C3'!$B$6:$B$2228,B974,'C3'!$D$6:$D$2228)</f>
        <v>0</v>
      </c>
      <c r="H974" s="22"/>
      <c r="I974" s="22"/>
      <c r="J974" s="4" t="s">
        <v>851</v>
      </c>
      <c r="K974" s="4" t="s">
        <v>852</v>
      </c>
    </row>
    <row r="975" spans="2:11">
      <c r="B975" s="1">
        <v>51169</v>
      </c>
      <c r="C975" s="4" t="s">
        <v>1021</v>
      </c>
      <c r="D975" s="19">
        <f t="shared" si="15"/>
        <v>0</v>
      </c>
      <c r="E975" s="19">
        <f>SUMIF('C1'!$B$6:$B$2228,B975,'C1'!$D$6:$D$2228)</f>
        <v>0</v>
      </c>
      <c r="F975" s="19">
        <f>SUMIF('C2'!$B$6:$B$2228,B975,'C2'!$D$6:$D$2228)</f>
        <v>0</v>
      </c>
      <c r="G975" s="19">
        <f>SUMIF('C3'!$B$6:$B$2228,B975,'C3'!$D$6:$D$2228)</f>
        <v>0</v>
      </c>
      <c r="H975" s="22"/>
      <c r="I975" s="22"/>
      <c r="J975" s="4" t="s">
        <v>851</v>
      </c>
      <c r="K975" s="4" t="s">
        <v>852</v>
      </c>
    </row>
    <row r="976" spans="2:11">
      <c r="B976" s="1">
        <v>51170</v>
      </c>
      <c r="C976" s="4" t="s">
        <v>1022</v>
      </c>
      <c r="D976" s="19">
        <f t="shared" si="15"/>
        <v>0</v>
      </c>
      <c r="E976" s="19">
        <f>SUMIF('C1'!$B$6:$B$2228,B976,'C1'!$D$6:$D$2228)</f>
        <v>0</v>
      </c>
      <c r="F976" s="19">
        <f>SUMIF('C2'!$B$6:$B$2228,B976,'C2'!$D$6:$D$2228)</f>
        <v>0</v>
      </c>
      <c r="G976" s="19">
        <f>SUMIF('C3'!$B$6:$B$2228,B976,'C3'!$D$6:$D$2228)</f>
        <v>0</v>
      </c>
      <c r="H976" s="22"/>
      <c r="I976" s="22"/>
      <c r="J976" s="4" t="s">
        <v>851</v>
      </c>
      <c r="K976" s="4" t="s">
        <v>852</v>
      </c>
    </row>
    <row r="977" spans="2:11">
      <c r="B977" s="1">
        <v>51171</v>
      </c>
      <c r="C977" s="4" t="s">
        <v>1023</v>
      </c>
      <c r="D977" s="19">
        <f t="shared" si="15"/>
        <v>0</v>
      </c>
      <c r="E977" s="19">
        <f>SUMIF('C1'!$B$6:$B$2228,B977,'C1'!$D$6:$D$2228)</f>
        <v>0</v>
      </c>
      <c r="F977" s="19">
        <f>SUMIF('C2'!$B$6:$B$2228,B977,'C2'!$D$6:$D$2228)</f>
        <v>0</v>
      </c>
      <c r="G977" s="19">
        <f>SUMIF('C3'!$B$6:$B$2228,B977,'C3'!$D$6:$D$2228)</f>
        <v>0</v>
      </c>
      <c r="H977" s="22"/>
      <c r="I977" s="22"/>
      <c r="J977" s="4" t="s">
        <v>851</v>
      </c>
      <c r="K977" s="4" t="s">
        <v>852</v>
      </c>
    </row>
    <row r="978" spans="2:11">
      <c r="B978" s="1">
        <v>51172</v>
      </c>
      <c r="C978" s="4" t="s">
        <v>1024</v>
      </c>
      <c r="D978" s="19">
        <f t="shared" si="15"/>
        <v>0</v>
      </c>
      <c r="E978" s="19">
        <f>SUMIF('C1'!$B$6:$B$2228,B978,'C1'!$D$6:$D$2228)</f>
        <v>0</v>
      </c>
      <c r="F978" s="19">
        <f>SUMIF('C2'!$B$6:$B$2228,B978,'C2'!$D$6:$D$2228)</f>
        <v>0</v>
      </c>
      <c r="G978" s="19">
        <f>SUMIF('C3'!$B$6:$B$2228,B978,'C3'!$D$6:$D$2228)</f>
        <v>0</v>
      </c>
      <c r="H978" s="22"/>
      <c r="I978" s="22"/>
      <c r="J978" s="4" t="s">
        <v>851</v>
      </c>
      <c r="K978" s="4" t="s">
        <v>855</v>
      </c>
    </row>
    <row r="979" spans="2:11">
      <c r="B979" s="1">
        <v>51173</v>
      </c>
      <c r="C979" s="4" t="s">
        <v>1025</v>
      </c>
      <c r="D979" s="19">
        <f t="shared" si="15"/>
        <v>0</v>
      </c>
      <c r="E979" s="19">
        <f>SUMIF('C1'!$B$6:$B$2228,B979,'C1'!$D$6:$D$2228)</f>
        <v>0</v>
      </c>
      <c r="F979" s="19">
        <f>SUMIF('C2'!$B$6:$B$2228,B979,'C2'!$D$6:$D$2228)</f>
        <v>0</v>
      </c>
      <c r="G979" s="19">
        <f>SUMIF('C3'!$B$6:$B$2228,B979,'C3'!$D$6:$D$2228)</f>
        <v>0</v>
      </c>
      <c r="H979" s="22"/>
      <c r="I979" s="22"/>
      <c r="J979" s="4" t="s">
        <v>851</v>
      </c>
      <c r="K979" s="4" t="s">
        <v>852</v>
      </c>
    </row>
    <row r="980" spans="2:11">
      <c r="B980" s="1">
        <v>51174</v>
      </c>
      <c r="C980" s="4" t="s">
        <v>1026</v>
      </c>
      <c r="D980" s="19">
        <f t="shared" si="15"/>
        <v>0</v>
      </c>
      <c r="E980" s="19">
        <f>SUMIF('C1'!$B$6:$B$2228,B980,'C1'!$D$6:$D$2228)</f>
        <v>0</v>
      </c>
      <c r="F980" s="19">
        <f>SUMIF('C2'!$B$6:$B$2228,B980,'C2'!$D$6:$D$2228)</f>
        <v>0</v>
      </c>
      <c r="G980" s="19">
        <f>SUMIF('C3'!$B$6:$B$2228,B980,'C3'!$D$6:$D$2228)</f>
        <v>0</v>
      </c>
      <c r="H980" s="22"/>
      <c r="I980" s="22"/>
      <c r="J980" s="4" t="s">
        <v>851</v>
      </c>
      <c r="K980" s="4" t="s">
        <v>852</v>
      </c>
    </row>
    <row r="981" spans="2:11">
      <c r="B981" s="1">
        <v>51175</v>
      </c>
      <c r="C981" s="4" t="s">
        <v>1027</v>
      </c>
      <c r="D981" s="19">
        <f t="shared" si="15"/>
        <v>0</v>
      </c>
      <c r="E981" s="19">
        <f>SUMIF('C1'!$B$6:$B$2228,B981,'C1'!$D$6:$D$2228)</f>
        <v>0</v>
      </c>
      <c r="F981" s="19">
        <f>SUMIF('C2'!$B$6:$B$2228,B981,'C2'!$D$6:$D$2228)</f>
        <v>0</v>
      </c>
      <c r="G981" s="19">
        <f>SUMIF('C3'!$B$6:$B$2228,B981,'C3'!$D$6:$D$2228)</f>
        <v>0</v>
      </c>
      <c r="H981" s="22"/>
      <c r="I981" s="22"/>
      <c r="J981" s="4" t="s">
        <v>851</v>
      </c>
      <c r="K981" s="4" t="s">
        <v>852</v>
      </c>
    </row>
    <row r="982" spans="2:11">
      <c r="B982" s="1">
        <v>51176</v>
      </c>
      <c r="C982" s="4" t="s">
        <v>1028</v>
      </c>
      <c r="D982" s="19">
        <f t="shared" si="15"/>
        <v>0</v>
      </c>
      <c r="E982" s="19">
        <f>SUMIF('C1'!$B$6:$B$2228,B982,'C1'!$D$6:$D$2228)</f>
        <v>0</v>
      </c>
      <c r="F982" s="19">
        <f>SUMIF('C2'!$B$6:$B$2228,B982,'C2'!$D$6:$D$2228)</f>
        <v>0</v>
      </c>
      <c r="G982" s="19">
        <f>SUMIF('C3'!$B$6:$B$2228,B982,'C3'!$D$6:$D$2228)</f>
        <v>0</v>
      </c>
      <c r="H982" s="22"/>
      <c r="I982" s="22"/>
      <c r="J982" s="4" t="s">
        <v>851</v>
      </c>
      <c r="K982" s="4" t="s">
        <v>852</v>
      </c>
    </row>
    <row r="983" spans="2:11">
      <c r="B983" s="1">
        <v>51177</v>
      </c>
      <c r="C983" s="4" t="s">
        <v>1029</v>
      </c>
      <c r="D983" s="19">
        <f t="shared" si="15"/>
        <v>0</v>
      </c>
      <c r="E983" s="19">
        <f>SUMIF('C1'!$B$6:$B$2228,B983,'C1'!$D$6:$D$2228)</f>
        <v>0</v>
      </c>
      <c r="F983" s="19">
        <f>SUMIF('C2'!$B$6:$B$2228,B983,'C2'!$D$6:$D$2228)</f>
        <v>0</v>
      </c>
      <c r="G983" s="19">
        <f>SUMIF('C3'!$B$6:$B$2228,B983,'C3'!$D$6:$D$2228)</f>
        <v>0</v>
      </c>
      <c r="H983" s="22"/>
      <c r="I983" s="22"/>
      <c r="J983" s="4" t="s">
        <v>851</v>
      </c>
      <c r="K983" s="4" t="s">
        <v>852</v>
      </c>
    </row>
    <row r="984" spans="2:11">
      <c r="B984" s="1">
        <v>51178</v>
      </c>
      <c r="C984" s="4" t="s">
        <v>1030</v>
      </c>
      <c r="D984" s="19">
        <f t="shared" si="15"/>
        <v>0</v>
      </c>
      <c r="E984" s="19">
        <f>SUMIF('C1'!$B$6:$B$2228,B984,'C1'!$D$6:$D$2228)</f>
        <v>0</v>
      </c>
      <c r="F984" s="19">
        <f>SUMIF('C2'!$B$6:$B$2228,B984,'C2'!$D$6:$D$2228)</f>
        <v>0</v>
      </c>
      <c r="G984" s="19">
        <f>SUMIF('C3'!$B$6:$B$2228,B984,'C3'!$D$6:$D$2228)</f>
        <v>0</v>
      </c>
      <c r="H984" s="22"/>
      <c r="I984" s="22"/>
      <c r="J984" s="4" t="s">
        <v>851</v>
      </c>
      <c r="K984" s="4" t="s">
        <v>852</v>
      </c>
    </row>
    <row r="985" spans="2:11">
      <c r="B985" s="1">
        <v>51179</v>
      </c>
      <c r="C985" s="4" t="s">
        <v>1031</v>
      </c>
      <c r="D985" s="19">
        <f t="shared" si="15"/>
        <v>0</v>
      </c>
      <c r="E985" s="19">
        <f>SUMIF('C1'!$B$6:$B$2228,B985,'C1'!$D$6:$D$2228)</f>
        <v>0</v>
      </c>
      <c r="F985" s="19">
        <f>SUMIF('C2'!$B$6:$B$2228,B985,'C2'!$D$6:$D$2228)</f>
        <v>0</v>
      </c>
      <c r="G985" s="19">
        <f>SUMIF('C3'!$B$6:$B$2228,B985,'C3'!$D$6:$D$2228)</f>
        <v>0</v>
      </c>
      <c r="H985" s="22"/>
      <c r="I985" s="22"/>
      <c r="J985" s="4" t="s">
        <v>851</v>
      </c>
      <c r="K985" s="4" t="s">
        <v>852</v>
      </c>
    </row>
    <row r="986" spans="2:11">
      <c r="B986" s="1">
        <v>51180</v>
      </c>
      <c r="C986" s="4" t="s">
        <v>1032</v>
      </c>
      <c r="D986" s="19">
        <f t="shared" si="15"/>
        <v>0</v>
      </c>
      <c r="E986" s="19">
        <f>SUMIF('C1'!$B$6:$B$2228,B986,'C1'!$D$6:$D$2228)</f>
        <v>0</v>
      </c>
      <c r="F986" s="19">
        <f>SUMIF('C2'!$B$6:$B$2228,B986,'C2'!$D$6:$D$2228)</f>
        <v>0</v>
      </c>
      <c r="G986" s="19">
        <f>SUMIF('C3'!$B$6:$B$2228,B986,'C3'!$D$6:$D$2228)</f>
        <v>0</v>
      </c>
      <c r="H986" s="22"/>
      <c r="I986" s="22"/>
      <c r="J986" s="4" t="s">
        <v>851</v>
      </c>
      <c r="K986" s="4" t="s">
        <v>852</v>
      </c>
    </row>
    <row r="987" spans="2:11">
      <c r="B987" s="1">
        <v>51181</v>
      </c>
      <c r="C987" s="4" t="s">
        <v>1033</v>
      </c>
      <c r="D987" s="19">
        <f t="shared" si="15"/>
        <v>0</v>
      </c>
      <c r="E987" s="19">
        <f>SUMIF('C1'!$B$6:$B$2228,B987,'C1'!$D$6:$D$2228)</f>
        <v>0</v>
      </c>
      <c r="F987" s="19">
        <f>SUMIF('C2'!$B$6:$B$2228,B987,'C2'!$D$6:$D$2228)</f>
        <v>0</v>
      </c>
      <c r="G987" s="19">
        <f>SUMIF('C3'!$B$6:$B$2228,B987,'C3'!$D$6:$D$2228)</f>
        <v>0</v>
      </c>
      <c r="H987" s="22"/>
      <c r="I987" s="22"/>
      <c r="J987" s="4" t="s">
        <v>851</v>
      </c>
      <c r="K987" s="4" t="s">
        <v>852</v>
      </c>
    </row>
    <row r="988" spans="2:11">
      <c r="B988" s="1">
        <v>51182</v>
      </c>
      <c r="C988" s="4" t="s">
        <v>1034</v>
      </c>
      <c r="D988" s="19">
        <f t="shared" si="15"/>
        <v>0</v>
      </c>
      <c r="E988" s="19">
        <f>SUMIF('C1'!$B$6:$B$2228,B988,'C1'!$D$6:$D$2228)</f>
        <v>0</v>
      </c>
      <c r="F988" s="19">
        <f>SUMIF('C2'!$B$6:$B$2228,B988,'C2'!$D$6:$D$2228)</f>
        <v>0</v>
      </c>
      <c r="G988" s="19">
        <f>SUMIF('C3'!$B$6:$B$2228,B988,'C3'!$D$6:$D$2228)</f>
        <v>0</v>
      </c>
      <c r="H988" s="22"/>
      <c r="I988" s="22"/>
      <c r="J988" s="4" t="s">
        <v>851</v>
      </c>
      <c r="K988" s="4" t="s">
        <v>852</v>
      </c>
    </row>
    <row r="989" spans="2:11">
      <c r="B989" s="1">
        <v>51183</v>
      </c>
      <c r="C989" s="4" t="s">
        <v>1035</v>
      </c>
      <c r="D989" s="19">
        <f t="shared" si="15"/>
        <v>0</v>
      </c>
      <c r="E989" s="19">
        <f>SUMIF('C1'!$B$6:$B$2228,B989,'C1'!$D$6:$D$2228)</f>
        <v>0</v>
      </c>
      <c r="F989" s="19">
        <f>SUMIF('C2'!$B$6:$B$2228,B989,'C2'!$D$6:$D$2228)</f>
        <v>0</v>
      </c>
      <c r="G989" s="19">
        <f>SUMIF('C3'!$B$6:$B$2228,B989,'C3'!$D$6:$D$2228)</f>
        <v>0</v>
      </c>
      <c r="H989" s="22"/>
      <c r="I989" s="22"/>
      <c r="J989" s="4" t="s">
        <v>851</v>
      </c>
      <c r="K989" s="4" t="s">
        <v>852</v>
      </c>
    </row>
    <row r="990" spans="2:11">
      <c r="B990" s="1">
        <v>51184</v>
      </c>
      <c r="C990" s="4" t="s">
        <v>1036</v>
      </c>
      <c r="D990" s="19">
        <f t="shared" si="15"/>
        <v>0</v>
      </c>
      <c r="E990" s="19">
        <f>SUMIF('C1'!$B$6:$B$2228,B990,'C1'!$D$6:$D$2228)</f>
        <v>0</v>
      </c>
      <c r="F990" s="19">
        <f>SUMIF('C2'!$B$6:$B$2228,B990,'C2'!$D$6:$D$2228)</f>
        <v>0</v>
      </c>
      <c r="G990" s="19">
        <f>SUMIF('C3'!$B$6:$B$2228,B990,'C3'!$D$6:$D$2228)</f>
        <v>0</v>
      </c>
      <c r="H990" s="22"/>
      <c r="I990" s="22"/>
      <c r="J990" s="4" t="s">
        <v>851</v>
      </c>
      <c r="K990" s="4" t="s">
        <v>852</v>
      </c>
    </row>
    <row r="991" spans="2:11">
      <c r="B991" s="1">
        <v>51185</v>
      </c>
      <c r="C991" s="4" t="s">
        <v>1037</v>
      </c>
      <c r="D991" s="19">
        <f t="shared" si="15"/>
        <v>0</v>
      </c>
      <c r="E991" s="19">
        <f>SUMIF('C1'!$B$6:$B$2228,B991,'C1'!$D$6:$D$2228)</f>
        <v>0</v>
      </c>
      <c r="F991" s="19">
        <f>SUMIF('C2'!$B$6:$B$2228,B991,'C2'!$D$6:$D$2228)</f>
        <v>0</v>
      </c>
      <c r="G991" s="19">
        <f>SUMIF('C3'!$B$6:$B$2228,B991,'C3'!$D$6:$D$2228)</f>
        <v>0</v>
      </c>
      <c r="H991" s="22"/>
      <c r="I991" s="22"/>
      <c r="J991" s="4" t="s">
        <v>851</v>
      </c>
      <c r="K991" s="4" t="s">
        <v>855</v>
      </c>
    </row>
    <row r="992" spans="2:11">
      <c r="B992" s="1">
        <v>51186</v>
      </c>
      <c r="C992" s="4" t="s">
        <v>1038</v>
      </c>
      <c r="D992" s="19">
        <f t="shared" si="15"/>
        <v>0</v>
      </c>
      <c r="E992" s="19">
        <f>SUMIF('C1'!$B$6:$B$2228,B992,'C1'!$D$6:$D$2228)</f>
        <v>0</v>
      </c>
      <c r="F992" s="19">
        <f>SUMIF('C2'!$B$6:$B$2228,B992,'C2'!$D$6:$D$2228)</f>
        <v>0</v>
      </c>
      <c r="G992" s="19">
        <f>SUMIF('C3'!$B$6:$B$2228,B992,'C3'!$D$6:$D$2228)</f>
        <v>0</v>
      </c>
      <c r="H992" s="22"/>
      <c r="I992" s="22"/>
      <c r="J992" s="4" t="s">
        <v>851</v>
      </c>
      <c r="K992" s="4" t="s">
        <v>855</v>
      </c>
    </row>
    <row r="993" spans="2:11">
      <c r="B993" s="1">
        <v>51187</v>
      </c>
      <c r="C993" s="4" t="s">
        <v>1039</v>
      </c>
      <c r="D993" s="19">
        <f t="shared" si="15"/>
        <v>0</v>
      </c>
      <c r="E993" s="19">
        <f>SUMIF('C1'!$B$6:$B$2228,B993,'C1'!$D$6:$D$2228)</f>
        <v>0</v>
      </c>
      <c r="F993" s="19">
        <f>SUMIF('C2'!$B$6:$B$2228,B993,'C2'!$D$6:$D$2228)</f>
        <v>0</v>
      </c>
      <c r="G993" s="19">
        <f>SUMIF('C3'!$B$6:$B$2228,B993,'C3'!$D$6:$D$2228)</f>
        <v>0</v>
      </c>
      <c r="H993" s="22"/>
      <c r="I993" s="22"/>
      <c r="J993" s="4" t="s">
        <v>851</v>
      </c>
      <c r="K993" s="4" t="s">
        <v>855</v>
      </c>
    </row>
    <row r="994" spans="2:11">
      <c r="B994" s="1">
        <v>51188</v>
      </c>
      <c r="C994" s="4" t="s">
        <v>1040</v>
      </c>
      <c r="D994" s="19">
        <f t="shared" si="15"/>
        <v>0</v>
      </c>
      <c r="E994" s="19">
        <f>SUMIF('C1'!$B$6:$B$2228,B994,'C1'!$D$6:$D$2228)</f>
        <v>0</v>
      </c>
      <c r="F994" s="19">
        <f>SUMIF('C2'!$B$6:$B$2228,B994,'C2'!$D$6:$D$2228)</f>
        <v>0</v>
      </c>
      <c r="G994" s="19">
        <f>SUMIF('C3'!$B$6:$B$2228,B994,'C3'!$D$6:$D$2228)</f>
        <v>0</v>
      </c>
      <c r="H994" s="22"/>
      <c r="I994" s="22"/>
      <c r="J994" s="4" t="s">
        <v>851</v>
      </c>
      <c r="K994" s="4" t="s">
        <v>855</v>
      </c>
    </row>
    <row r="995" spans="2:11">
      <c r="B995" s="1">
        <v>51189</v>
      </c>
      <c r="C995" s="4" t="s">
        <v>1041</v>
      </c>
      <c r="D995" s="19">
        <f t="shared" si="15"/>
        <v>0</v>
      </c>
      <c r="E995" s="19">
        <f>SUMIF('C1'!$B$6:$B$2228,B995,'C1'!$D$6:$D$2228)</f>
        <v>0</v>
      </c>
      <c r="F995" s="19">
        <f>SUMIF('C2'!$B$6:$B$2228,B995,'C2'!$D$6:$D$2228)</f>
        <v>0</v>
      </c>
      <c r="G995" s="19">
        <f>SUMIF('C3'!$B$6:$B$2228,B995,'C3'!$D$6:$D$2228)</f>
        <v>0</v>
      </c>
      <c r="H995" s="22"/>
      <c r="I995" s="22"/>
      <c r="J995" s="4" t="s">
        <v>851</v>
      </c>
      <c r="K995" s="4" t="s">
        <v>852</v>
      </c>
    </row>
    <row r="996" spans="2:11">
      <c r="B996" s="1">
        <v>51190</v>
      </c>
      <c r="C996" s="4" t="s">
        <v>1042</v>
      </c>
      <c r="D996" s="19">
        <f t="shared" si="15"/>
        <v>0</v>
      </c>
      <c r="E996" s="19">
        <f>SUMIF('C1'!$B$6:$B$2228,B996,'C1'!$D$6:$D$2228)</f>
        <v>0</v>
      </c>
      <c r="F996" s="19">
        <f>SUMIF('C2'!$B$6:$B$2228,B996,'C2'!$D$6:$D$2228)</f>
        <v>0</v>
      </c>
      <c r="G996" s="19">
        <f>SUMIF('C3'!$B$6:$B$2228,B996,'C3'!$D$6:$D$2228)</f>
        <v>0</v>
      </c>
      <c r="H996" s="22"/>
      <c r="I996" s="22"/>
      <c r="J996" s="4" t="s">
        <v>851</v>
      </c>
      <c r="K996" s="4" t="s">
        <v>852</v>
      </c>
    </row>
    <row r="997" spans="2:11">
      <c r="B997" s="1">
        <v>51191</v>
      </c>
      <c r="C997" s="4" t="s">
        <v>1043</v>
      </c>
      <c r="D997" s="19">
        <f t="shared" si="15"/>
        <v>0</v>
      </c>
      <c r="E997" s="19">
        <f>SUMIF('C1'!$B$6:$B$2228,B997,'C1'!$D$6:$D$2228)</f>
        <v>0</v>
      </c>
      <c r="F997" s="19">
        <f>SUMIF('C2'!$B$6:$B$2228,B997,'C2'!$D$6:$D$2228)</f>
        <v>0</v>
      </c>
      <c r="G997" s="19">
        <f>SUMIF('C3'!$B$6:$B$2228,B997,'C3'!$D$6:$D$2228)</f>
        <v>0</v>
      </c>
      <c r="H997" s="22"/>
      <c r="I997" s="22"/>
      <c r="J997" s="4" t="s">
        <v>851</v>
      </c>
      <c r="K997" s="4" t="s">
        <v>852</v>
      </c>
    </row>
    <row r="998" spans="2:11">
      <c r="B998" s="1">
        <v>51192</v>
      </c>
      <c r="C998" s="4" t="s">
        <v>1044</v>
      </c>
      <c r="D998" s="19">
        <f t="shared" si="15"/>
        <v>0</v>
      </c>
      <c r="E998" s="19">
        <f>SUMIF('C1'!$B$6:$B$2228,B998,'C1'!$D$6:$D$2228)</f>
        <v>0</v>
      </c>
      <c r="F998" s="19">
        <f>SUMIF('C2'!$B$6:$B$2228,B998,'C2'!$D$6:$D$2228)</f>
        <v>0</v>
      </c>
      <c r="G998" s="19">
        <f>SUMIF('C3'!$B$6:$B$2228,B998,'C3'!$D$6:$D$2228)</f>
        <v>0</v>
      </c>
      <c r="H998" s="22"/>
      <c r="I998" s="22"/>
      <c r="J998" s="4" t="s">
        <v>851</v>
      </c>
      <c r="K998" s="4" t="s">
        <v>852</v>
      </c>
    </row>
    <row r="999" spans="2:11">
      <c r="B999" s="1">
        <v>51193</v>
      </c>
      <c r="C999" s="4" t="s">
        <v>1045</v>
      </c>
      <c r="D999" s="19">
        <f t="shared" si="15"/>
        <v>0</v>
      </c>
      <c r="E999" s="19">
        <f>SUMIF('C1'!$B$6:$B$2228,B999,'C1'!$D$6:$D$2228)</f>
        <v>0</v>
      </c>
      <c r="F999" s="19">
        <f>SUMIF('C2'!$B$6:$B$2228,B999,'C2'!$D$6:$D$2228)</f>
        <v>0</v>
      </c>
      <c r="G999" s="19">
        <f>SUMIF('C3'!$B$6:$B$2228,B999,'C3'!$D$6:$D$2228)</f>
        <v>0</v>
      </c>
      <c r="H999" s="22"/>
      <c r="I999" s="22"/>
      <c r="J999" s="4" t="s">
        <v>851</v>
      </c>
      <c r="K999" s="4" t="s">
        <v>852</v>
      </c>
    </row>
    <row r="1000" spans="2:11">
      <c r="B1000" s="1">
        <v>51194</v>
      </c>
      <c r="C1000" s="4" t="s">
        <v>1046</v>
      </c>
      <c r="D1000" s="19">
        <f t="shared" si="15"/>
        <v>0</v>
      </c>
      <c r="E1000" s="19">
        <f>SUMIF('C1'!$B$6:$B$2228,B1000,'C1'!$D$6:$D$2228)</f>
        <v>0</v>
      </c>
      <c r="F1000" s="19">
        <f>SUMIF('C2'!$B$6:$B$2228,B1000,'C2'!$D$6:$D$2228)</f>
        <v>0</v>
      </c>
      <c r="G1000" s="19">
        <f>SUMIF('C3'!$B$6:$B$2228,B1000,'C3'!$D$6:$D$2228)</f>
        <v>0</v>
      </c>
      <c r="H1000" s="22"/>
      <c r="I1000" s="22"/>
      <c r="J1000" s="4" t="s">
        <v>851</v>
      </c>
      <c r="K1000" s="4" t="s">
        <v>852</v>
      </c>
    </row>
    <row r="1001" spans="2:11">
      <c r="B1001" s="1">
        <v>51195</v>
      </c>
      <c r="C1001" s="4" t="s">
        <v>1047</v>
      </c>
      <c r="D1001" s="19">
        <f t="shared" si="15"/>
        <v>0</v>
      </c>
      <c r="E1001" s="19">
        <f>SUMIF('C1'!$B$6:$B$2228,B1001,'C1'!$D$6:$D$2228)</f>
        <v>0</v>
      </c>
      <c r="F1001" s="19">
        <f>SUMIF('C2'!$B$6:$B$2228,B1001,'C2'!$D$6:$D$2228)</f>
        <v>0</v>
      </c>
      <c r="G1001" s="19">
        <f>SUMIF('C3'!$B$6:$B$2228,B1001,'C3'!$D$6:$D$2228)</f>
        <v>0</v>
      </c>
      <c r="H1001" s="22"/>
      <c r="I1001" s="22"/>
      <c r="J1001" s="4" t="s">
        <v>851</v>
      </c>
      <c r="K1001" s="4" t="s">
        <v>852</v>
      </c>
    </row>
    <row r="1002" spans="2:11">
      <c r="B1002" s="1">
        <v>51196</v>
      </c>
      <c r="C1002" s="4" t="s">
        <v>1048</v>
      </c>
      <c r="D1002" s="19">
        <f t="shared" si="15"/>
        <v>0</v>
      </c>
      <c r="E1002" s="19">
        <f>SUMIF('C1'!$B$6:$B$2228,B1002,'C1'!$D$6:$D$2228)</f>
        <v>0</v>
      </c>
      <c r="F1002" s="19">
        <f>SUMIF('C2'!$B$6:$B$2228,B1002,'C2'!$D$6:$D$2228)</f>
        <v>0</v>
      </c>
      <c r="G1002" s="19">
        <f>SUMIF('C3'!$B$6:$B$2228,B1002,'C3'!$D$6:$D$2228)</f>
        <v>0</v>
      </c>
      <c r="H1002" s="22"/>
      <c r="I1002" s="22"/>
      <c r="J1002" s="4" t="s">
        <v>851</v>
      </c>
      <c r="K1002" s="4" t="s">
        <v>852</v>
      </c>
    </row>
    <row r="1003" spans="2:11">
      <c r="B1003" s="1">
        <v>51197</v>
      </c>
      <c r="C1003" s="4" t="s">
        <v>1049</v>
      </c>
      <c r="D1003" s="19">
        <f t="shared" si="15"/>
        <v>0</v>
      </c>
      <c r="E1003" s="19">
        <f>SUMIF('C1'!$B$6:$B$2228,B1003,'C1'!$D$6:$D$2228)</f>
        <v>0</v>
      </c>
      <c r="F1003" s="19">
        <f>SUMIF('C2'!$B$6:$B$2228,B1003,'C2'!$D$6:$D$2228)</f>
        <v>0</v>
      </c>
      <c r="G1003" s="19">
        <f>SUMIF('C3'!$B$6:$B$2228,B1003,'C3'!$D$6:$D$2228)</f>
        <v>0</v>
      </c>
      <c r="H1003" s="22"/>
      <c r="I1003" s="22"/>
      <c r="J1003" s="4" t="s">
        <v>851</v>
      </c>
      <c r="K1003" s="4" t="s">
        <v>852</v>
      </c>
    </row>
    <row r="1004" spans="2:11">
      <c r="B1004" s="1">
        <v>51198</v>
      </c>
      <c r="C1004" s="4" t="s">
        <v>1050</v>
      </c>
      <c r="D1004" s="19">
        <f t="shared" si="15"/>
        <v>0</v>
      </c>
      <c r="E1004" s="19">
        <f>SUMIF('C1'!$B$6:$B$2228,B1004,'C1'!$D$6:$D$2228)</f>
        <v>0</v>
      </c>
      <c r="F1004" s="19">
        <f>SUMIF('C2'!$B$6:$B$2228,B1004,'C2'!$D$6:$D$2228)</f>
        <v>0</v>
      </c>
      <c r="G1004" s="19">
        <f>SUMIF('C3'!$B$6:$B$2228,B1004,'C3'!$D$6:$D$2228)</f>
        <v>0</v>
      </c>
      <c r="H1004" s="22"/>
      <c r="I1004" s="22"/>
      <c r="J1004" s="4" t="s">
        <v>851</v>
      </c>
      <c r="K1004" s="4" t="s">
        <v>852</v>
      </c>
    </row>
    <row r="1005" spans="2:11">
      <c r="B1005" s="1">
        <v>51199</v>
      </c>
      <c r="C1005" s="4" t="s">
        <v>1051</v>
      </c>
      <c r="D1005" s="19">
        <f t="shared" si="15"/>
        <v>0</v>
      </c>
      <c r="E1005" s="19">
        <f>SUMIF('C1'!$B$6:$B$2228,B1005,'C1'!$D$6:$D$2228)</f>
        <v>0</v>
      </c>
      <c r="F1005" s="19">
        <f>SUMIF('C2'!$B$6:$B$2228,B1005,'C2'!$D$6:$D$2228)</f>
        <v>0</v>
      </c>
      <c r="G1005" s="19">
        <f>SUMIF('C3'!$B$6:$B$2228,B1005,'C3'!$D$6:$D$2228)</f>
        <v>0</v>
      </c>
      <c r="H1005" s="22"/>
      <c r="I1005" s="22"/>
      <c r="J1005" s="4" t="s">
        <v>851</v>
      </c>
      <c r="K1005" s="4" t="s">
        <v>852</v>
      </c>
    </row>
    <row r="1006" spans="2:11">
      <c r="B1006" s="1">
        <v>51201</v>
      </c>
      <c r="C1006" s="4" t="s">
        <v>1052</v>
      </c>
      <c r="D1006" s="19">
        <f t="shared" si="15"/>
        <v>0</v>
      </c>
      <c r="E1006" s="19">
        <f>SUMIF('C1'!$B$6:$B$2228,B1006,'C1'!$D$6:$D$2228)</f>
        <v>0</v>
      </c>
      <c r="F1006" s="19">
        <f>SUMIF('C2'!$B$6:$B$2228,B1006,'C2'!$D$6:$D$2228)</f>
        <v>0</v>
      </c>
      <c r="G1006" s="19">
        <f>SUMIF('C3'!$B$6:$B$2228,B1006,'C3'!$D$6:$D$2228)</f>
        <v>0</v>
      </c>
      <c r="H1006" s="22"/>
      <c r="I1006" s="22"/>
      <c r="J1006" s="4" t="s">
        <v>851</v>
      </c>
      <c r="K1006" s="4" t="s">
        <v>852</v>
      </c>
    </row>
    <row r="1007" spans="2:11">
      <c r="B1007" s="1">
        <v>51202</v>
      </c>
      <c r="C1007" s="4" t="s">
        <v>1053</v>
      </c>
      <c r="D1007" s="19">
        <f t="shared" si="15"/>
        <v>0</v>
      </c>
      <c r="E1007" s="19">
        <f>SUMIF('C1'!$B$6:$B$2228,B1007,'C1'!$D$6:$D$2228)</f>
        <v>0</v>
      </c>
      <c r="F1007" s="19">
        <f>SUMIF('C2'!$B$6:$B$2228,B1007,'C2'!$D$6:$D$2228)</f>
        <v>0</v>
      </c>
      <c r="G1007" s="19">
        <f>SUMIF('C3'!$B$6:$B$2228,B1007,'C3'!$D$6:$D$2228)</f>
        <v>0</v>
      </c>
      <c r="H1007" s="22"/>
      <c r="I1007" s="22"/>
      <c r="J1007" s="4" t="s">
        <v>851</v>
      </c>
      <c r="K1007" s="4" t="s">
        <v>855</v>
      </c>
    </row>
    <row r="1008" spans="2:11">
      <c r="B1008" s="1">
        <v>51203</v>
      </c>
      <c r="C1008" s="4" t="s">
        <v>1054</v>
      </c>
      <c r="D1008" s="19">
        <f t="shared" si="15"/>
        <v>0</v>
      </c>
      <c r="E1008" s="19">
        <f>SUMIF('C1'!$B$6:$B$2228,B1008,'C1'!$D$6:$D$2228)</f>
        <v>0</v>
      </c>
      <c r="F1008" s="19">
        <f>SUMIF('C2'!$B$6:$B$2228,B1008,'C2'!$D$6:$D$2228)</f>
        <v>0</v>
      </c>
      <c r="G1008" s="19">
        <f>SUMIF('C3'!$B$6:$B$2228,B1008,'C3'!$D$6:$D$2228)</f>
        <v>0</v>
      </c>
      <c r="H1008" s="22"/>
      <c r="I1008" s="22"/>
      <c r="J1008" s="4" t="s">
        <v>851</v>
      </c>
      <c r="K1008" s="4" t="s">
        <v>852</v>
      </c>
    </row>
    <row r="1009" spans="2:11">
      <c r="B1009" s="1">
        <v>52000</v>
      </c>
      <c r="C1009" s="4" t="s">
        <v>1055</v>
      </c>
      <c r="D1009" s="19">
        <f t="shared" si="15"/>
        <v>0</v>
      </c>
      <c r="E1009" s="19">
        <f>SUMIF('C1'!$B$6:$B$2228,B1009,'C1'!$D$6:$D$2228)</f>
        <v>0</v>
      </c>
      <c r="F1009" s="19">
        <f>SUMIF('C2'!$B$6:$B$2228,B1009,'C2'!$D$6:$D$2228)</f>
        <v>0</v>
      </c>
      <c r="G1009" s="19">
        <f>SUMIF('C3'!$B$6:$B$2228,B1009,'C3'!$D$6:$D$2228)</f>
        <v>0</v>
      </c>
      <c r="H1009" s="22"/>
      <c r="I1009" s="22"/>
      <c r="J1009" s="4" t="s">
        <v>851</v>
      </c>
      <c r="K1009" s="4" t="s">
        <v>852</v>
      </c>
    </row>
    <row r="1010" spans="2:11">
      <c r="B1010" s="1">
        <v>52001</v>
      </c>
      <c r="C1010" s="4" t="s">
        <v>1056</v>
      </c>
      <c r="D1010" s="19">
        <f t="shared" si="15"/>
        <v>0</v>
      </c>
      <c r="E1010" s="19">
        <f>SUMIF('C1'!$B$6:$B$2228,B1010,'C1'!$D$6:$D$2228)</f>
        <v>0</v>
      </c>
      <c r="F1010" s="19">
        <f>SUMIF('C2'!$B$6:$B$2228,B1010,'C2'!$D$6:$D$2228)</f>
        <v>0</v>
      </c>
      <c r="G1010" s="19">
        <f>SUMIF('C3'!$B$6:$B$2228,B1010,'C3'!$D$6:$D$2228)</f>
        <v>0</v>
      </c>
      <c r="H1010" s="22"/>
      <c r="I1010" s="22"/>
      <c r="J1010" s="4" t="s">
        <v>851</v>
      </c>
      <c r="K1010" s="4" t="s">
        <v>852</v>
      </c>
    </row>
    <row r="1011" spans="2:11">
      <c r="B1011" s="1">
        <v>52002</v>
      </c>
      <c r="C1011" s="4" t="s">
        <v>1057</v>
      </c>
      <c r="D1011" s="19">
        <f t="shared" si="15"/>
        <v>0</v>
      </c>
      <c r="E1011" s="19">
        <f>SUMIF('C1'!$B$6:$B$2228,B1011,'C1'!$D$6:$D$2228)</f>
        <v>0</v>
      </c>
      <c r="F1011" s="19">
        <f>SUMIF('C2'!$B$6:$B$2228,B1011,'C2'!$D$6:$D$2228)</f>
        <v>0</v>
      </c>
      <c r="G1011" s="19">
        <f>SUMIF('C3'!$B$6:$B$2228,B1011,'C3'!$D$6:$D$2228)</f>
        <v>0</v>
      </c>
      <c r="H1011" s="22"/>
      <c r="I1011" s="22"/>
      <c r="J1011" s="4" t="s">
        <v>851</v>
      </c>
      <c r="K1011" s="4" t="s">
        <v>852</v>
      </c>
    </row>
    <row r="1012" spans="2:11">
      <c r="B1012" s="1">
        <v>52003</v>
      </c>
      <c r="C1012" s="4" t="s">
        <v>1058</v>
      </c>
      <c r="D1012" s="19">
        <f t="shared" si="15"/>
        <v>0</v>
      </c>
      <c r="E1012" s="19">
        <f>SUMIF('C1'!$B$6:$B$2228,B1012,'C1'!$D$6:$D$2228)</f>
        <v>0</v>
      </c>
      <c r="F1012" s="19">
        <f>SUMIF('C2'!$B$6:$B$2228,B1012,'C2'!$D$6:$D$2228)</f>
        <v>0</v>
      </c>
      <c r="G1012" s="19">
        <f>SUMIF('C3'!$B$6:$B$2228,B1012,'C3'!$D$6:$D$2228)</f>
        <v>0</v>
      </c>
      <c r="H1012" s="22"/>
      <c r="I1012" s="22"/>
      <c r="J1012" s="4" t="s">
        <v>851</v>
      </c>
      <c r="K1012" s="4" t="s">
        <v>852</v>
      </c>
    </row>
    <row r="1013" spans="2:11">
      <c r="B1013" s="1">
        <v>52004</v>
      </c>
      <c r="C1013" s="4" t="s">
        <v>1059</v>
      </c>
      <c r="D1013" s="19">
        <f t="shared" si="15"/>
        <v>0</v>
      </c>
      <c r="E1013" s="19">
        <f>SUMIF('C1'!$B$6:$B$2228,B1013,'C1'!$D$6:$D$2228)</f>
        <v>0</v>
      </c>
      <c r="F1013" s="19">
        <f>SUMIF('C2'!$B$6:$B$2228,B1013,'C2'!$D$6:$D$2228)</f>
        <v>0</v>
      </c>
      <c r="G1013" s="19">
        <f>SUMIF('C3'!$B$6:$B$2228,B1013,'C3'!$D$6:$D$2228)</f>
        <v>0</v>
      </c>
      <c r="H1013" s="22"/>
      <c r="I1013" s="22"/>
      <c r="J1013" s="4" t="s">
        <v>851</v>
      </c>
      <c r="K1013" s="4" t="s">
        <v>852</v>
      </c>
    </row>
    <row r="1014" spans="2:11">
      <c r="B1014" s="1">
        <v>52005</v>
      </c>
      <c r="C1014" s="4" t="s">
        <v>1060</v>
      </c>
      <c r="D1014" s="19">
        <f t="shared" si="15"/>
        <v>0</v>
      </c>
      <c r="E1014" s="19">
        <f>SUMIF('C1'!$B$6:$B$2228,B1014,'C1'!$D$6:$D$2228)</f>
        <v>0</v>
      </c>
      <c r="F1014" s="19">
        <f>SUMIF('C2'!$B$6:$B$2228,B1014,'C2'!$D$6:$D$2228)</f>
        <v>0</v>
      </c>
      <c r="G1014" s="19">
        <f>SUMIF('C3'!$B$6:$B$2228,B1014,'C3'!$D$6:$D$2228)</f>
        <v>0</v>
      </c>
      <c r="H1014" s="22"/>
      <c r="I1014" s="22"/>
      <c r="J1014" s="4" t="s">
        <v>851</v>
      </c>
      <c r="K1014" s="4" t="s">
        <v>855</v>
      </c>
    </row>
    <row r="1015" spans="2:11">
      <c r="B1015" s="1">
        <v>52006</v>
      </c>
      <c r="C1015" s="4" t="s">
        <v>1061</v>
      </c>
      <c r="D1015" s="19">
        <f t="shared" si="15"/>
        <v>0</v>
      </c>
      <c r="E1015" s="19">
        <f>SUMIF('C1'!$B$6:$B$2228,B1015,'C1'!$D$6:$D$2228)</f>
        <v>0</v>
      </c>
      <c r="F1015" s="19">
        <f>SUMIF('C2'!$B$6:$B$2228,B1015,'C2'!$D$6:$D$2228)</f>
        <v>0</v>
      </c>
      <c r="G1015" s="19">
        <f>SUMIF('C3'!$B$6:$B$2228,B1015,'C3'!$D$6:$D$2228)</f>
        <v>0</v>
      </c>
      <c r="H1015" s="22"/>
      <c r="I1015" s="22"/>
      <c r="J1015" s="4" t="s">
        <v>851</v>
      </c>
      <c r="K1015" s="4" t="s">
        <v>855</v>
      </c>
    </row>
    <row r="1016" spans="2:11">
      <c r="B1016" s="1">
        <v>52007</v>
      </c>
      <c r="C1016" s="4" t="s">
        <v>1062</v>
      </c>
      <c r="D1016" s="19">
        <f t="shared" si="15"/>
        <v>0</v>
      </c>
      <c r="E1016" s="19">
        <f>SUMIF('C1'!$B$6:$B$2228,B1016,'C1'!$D$6:$D$2228)</f>
        <v>0</v>
      </c>
      <c r="F1016" s="19">
        <f>SUMIF('C2'!$B$6:$B$2228,B1016,'C2'!$D$6:$D$2228)</f>
        <v>0</v>
      </c>
      <c r="G1016" s="19">
        <f>SUMIF('C3'!$B$6:$B$2228,B1016,'C3'!$D$6:$D$2228)</f>
        <v>0</v>
      </c>
      <c r="H1016" s="22"/>
      <c r="I1016" s="22"/>
      <c r="J1016" s="4" t="s">
        <v>851</v>
      </c>
      <c r="K1016" s="4" t="s">
        <v>855</v>
      </c>
    </row>
    <row r="1017" spans="2:11">
      <c r="B1017" s="1">
        <v>52008</v>
      </c>
      <c r="C1017" s="4" t="s">
        <v>1063</v>
      </c>
      <c r="D1017" s="19">
        <f t="shared" si="15"/>
        <v>0</v>
      </c>
      <c r="E1017" s="19">
        <f>SUMIF('C1'!$B$6:$B$2228,B1017,'C1'!$D$6:$D$2228)</f>
        <v>0</v>
      </c>
      <c r="F1017" s="19">
        <f>SUMIF('C2'!$B$6:$B$2228,B1017,'C2'!$D$6:$D$2228)</f>
        <v>0</v>
      </c>
      <c r="G1017" s="19">
        <f>SUMIF('C3'!$B$6:$B$2228,B1017,'C3'!$D$6:$D$2228)</f>
        <v>0</v>
      </c>
      <c r="H1017" s="22"/>
      <c r="I1017" s="22"/>
      <c r="J1017" s="4" t="s">
        <v>851</v>
      </c>
      <c r="K1017" s="4" t="s">
        <v>855</v>
      </c>
    </row>
    <row r="1018" spans="2:11">
      <c r="B1018" s="1">
        <v>52009</v>
      </c>
      <c r="C1018" s="4" t="s">
        <v>1064</v>
      </c>
      <c r="D1018" s="19">
        <f t="shared" si="15"/>
        <v>0</v>
      </c>
      <c r="E1018" s="19">
        <f>SUMIF('C1'!$B$6:$B$2228,B1018,'C1'!$D$6:$D$2228)</f>
        <v>0</v>
      </c>
      <c r="F1018" s="19">
        <f>SUMIF('C2'!$B$6:$B$2228,B1018,'C2'!$D$6:$D$2228)</f>
        <v>0</v>
      </c>
      <c r="G1018" s="19">
        <f>SUMIF('C3'!$B$6:$B$2228,B1018,'C3'!$D$6:$D$2228)</f>
        <v>0</v>
      </c>
      <c r="H1018" s="22"/>
      <c r="I1018" s="22"/>
      <c r="J1018" s="4" t="s">
        <v>851</v>
      </c>
      <c r="K1018" s="4" t="s">
        <v>855</v>
      </c>
    </row>
    <row r="1019" spans="2:11">
      <c r="B1019" s="1">
        <v>52010</v>
      </c>
      <c r="C1019" s="4" t="s">
        <v>1065</v>
      </c>
      <c r="D1019" s="19">
        <f t="shared" si="15"/>
        <v>0</v>
      </c>
      <c r="E1019" s="19">
        <f>SUMIF('C1'!$B$6:$B$2228,B1019,'C1'!$D$6:$D$2228)</f>
        <v>0</v>
      </c>
      <c r="F1019" s="19">
        <f>SUMIF('C2'!$B$6:$B$2228,B1019,'C2'!$D$6:$D$2228)</f>
        <v>0</v>
      </c>
      <c r="G1019" s="19">
        <f>SUMIF('C3'!$B$6:$B$2228,B1019,'C3'!$D$6:$D$2228)</f>
        <v>0</v>
      </c>
      <c r="H1019" s="22"/>
      <c r="I1019" s="22"/>
      <c r="J1019" s="4" t="s">
        <v>851</v>
      </c>
      <c r="K1019" s="4" t="s">
        <v>855</v>
      </c>
    </row>
    <row r="1020" spans="2:11">
      <c r="B1020" s="1">
        <v>52011</v>
      </c>
      <c r="C1020" s="4" t="s">
        <v>1066</v>
      </c>
      <c r="D1020" s="19">
        <f t="shared" si="15"/>
        <v>0</v>
      </c>
      <c r="E1020" s="19">
        <f>SUMIF('C1'!$B$6:$B$2228,B1020,'C1'!$D$6:$D$2228)</f>
        <v>0</v>
      </c>
      <c r="F1020" s="19">
        <f>SUMIF('C2'!$B$6:$B$2228,B1020,'C2'!$D$6:$D$2228)</f>
        <v>0</v>
      </c>
      <c r="G1020" s="19">
        <f>SUMIF('C3'!$B$6:$B$2228,B1020,'C3'!$D$6:$D$2228)</f>
        <v>0</v>
      </c>
      <c r="H1020" s="22"/>
      <c r="I1020" s="22"/>
      <c r="J1020" s="4" t="s">
        <v>851</v>
      </c>
      <c r="K1020" s="4" t="s">
        <v>852</v>
      </c>
    </row>
    <row r="1021" spans="2:11">
      <c r="B1021" s="1">
        <v>52012</v>
      </c>
      <c r="C1021" s="4" t="s">
        <v>1067</v>
      </c>
      <c r="D1021" s="19">
        <f t="shared" si="15"/>
        <v>0</v>
      </c>
      <c r="E1021" s="19">
        <f>SUMIF('C1'!$B$6:$B$2228,B1021,'C1'!$D$6:$D$2228)</f>
        <v>0</v>
      </c>
      <c r="F1021" s="19">
        <f>SUMIF('C2'!$B$6:$B$2228,B1021,'C2'!$D$6:$D$2228)</f>
        <v>0</v>
      </c>
      <c r="G1021" s="19">
        <f>SUMIF('C3'!$B$6:$B$2228,B1021,'C3'!$D$6:$D$2228)</f>
        <v>0</v>
      </c>
      <c r="H1021" s="22"/>
      <c r="I1021" s="22"/>
      <c r="J1021" s="4" t="s">
        <v>851</v>
      </c>
      <c r="K1021" s="4" t="s">
        <v>855</v>
      </c>
    </row>
    <row r="1022" spans="2:11">
      <c r="B1022" s="1">
        <v>52013</v>
      </c>
      <c r="C1022" s="4" t="s">
        <v>1068</v>
      </c>
      <c r="D1022" s="19">
        <f t="shared" si="15"/>
        <v>0</v>
      </c>
      <c r="E1022" s="19">
        <f>SUMIF('C1'!$B$6:$B$2228,B1022,'C1'!$D$6:$D$2228)</f>
        <v>0</v>
      </c>
      <c r="F1022" s="19">
        <f>SUMIF('C2'!$B$6:$B$2228,B1022,'C2'!$D$6:$D$2228)</f>
        <v>0</v>
      </c>
      <c r="G1022" s="19">
        <f>SUMIF('C3'!$B$6:$B$2228,B1022,'C3'!$D$6:$D$2228)</f>
        <v>0</v>
      </c>
      <c r="H1022" s="22"/>
      <c r="I1022" s="22"/>
      <c r="J1022" s="4" t="s">
        <v>851</v>
      </c>
      <c r="K1022" s="4" t="s">
        <v>852</v>
      </c>
    </row>
    <row r="1023" spans="2:11">
      <c r="B1023" s="1">
        <v>52014</v>
      </c>
      <c r="C1023" s="4" t="s">
        <v>1069</v>
      </c>
      <c r="D1023" s="19">
        <f t="shared" si="15"/>
        <v>0</v>
      </c>
      <c r="E1023" s="19">
        <f>SUMIF('C1'!$B$6:$B$2228,B1023,'C1'!$D$6:$D$2228)</f>
        <v>0</v>
      </c>
      <c r="F1023" s="19">
        <f>SUMIF('C2'!$B$6:$B$2228,B1023,'C2'!$D$6:$D$2228)</f>
        <v>0</v>
      </c>
      <c r="G1023" s="19">
        <f>SUMIF('C3'!$B$6:$B$2228,B1023,'C3'!$D$6:$D$2228)</f>
        <v>0</v>
      </c>
      <c r="H1023" s="22"/>
      <c r="I1023" s="22"/>
      <c r="J1023" s="4" t="s">
        <v>851</v>
      </c>
      <c r="K1023" s="4" t="s">
        <v>855</v>
      </c>
    </row>
    <row r="1024" spans="2:11">
      <c r="B1024" s="1">
        <v>52015</v>
      </c>
      <c r="C1024" s="4" t="s">
        <v>1070</v>
      </c>
      <c r="D1024" s="19">
        <f t="shared" si="15"/>
        <v>0</v>
      </c>
      <c r="E1024" s="19">
        <f>SUMIF('C1'!$B$6:$B$2228,B1024,'C1'!$D$6:$D$2228)</f>
        <v>0</v>
      </c>
      <c r="F1024" s="19">
        <f>SUMIF('C2'!$B$6:$B$2228,B1024,'C2'!$D$6:$D$2228)</f>
        <v>0</v>
      </c>
      <c r="G1024" s="19">
        <f>SUMIF('C3'!$B$6:$B$2228,B1024,'C3'!$D$6:$D$2228)</f>
        <v>0</v>
      </c>
      <c r="H1024" s="22"/>
      <c r="I1024" s="22"/>
      <c r="J1024" s="4" t="s">
        <v>851</v>
      </c>
      <c r="K1024" s="4" t="s">
        <v>852</v>
      </c>
    </row>
    <row r="1025" spans="2:11">
      <c r="B1025" s="1">
        <v>52016</v>
      </c>
      <c r="C1025" s="4" t="s">
        <v>1071</v>
      </c>
      <c r="D1025" s="19">
        <f t="shared" si="15"/>
        <v>0</v>
      </c>
      <c r="E1025" s="19">
        <f>SUMIF('C1'!$B$6:$B$2228,B1025,'C1'!$D$6:$D$2228)</f>
        <v>0</v>
      </c>
      <c r="F1025" s="19">
        <f>SUMIF('C2'!$B$6:$B$2228,B1025,'C2'!$D$6:$D$2228)</f>
        <v>0</v>
      </c>
      <c r="G1025" s="19">
        <f>SUMIF('C3'!$B$6:$B$2228,B1025,'C3'!$D$6:$D$2228)</f>
        <v>0</v>
      </c>
      <c r="H1025" s="22"/>
      <c r="I1025" s="22"/>
      <c r="J1025" s="4" t="s">
        <v>851</v>
      </c>
      <c r="K1025" s="4" t="s">
        <v>852</v>
      </c>
    </row>
    <row r="1026" spans="2:11">
      <c r="B1026" s="1">
        <v>52017</v>
      </c>
      <c r="C1026" s="4" t="s">
        <v>1072</v>
      </c>
      <c r="D1026" s="19">
        <f t="shared" si="15"/>
        <v>0</v>
      </c>
      <c r="E1026" s="19">
        <f>SUMIF('C1'!$B$6:$B$2228,B1026,'C1'!$D$6:$D$2228)</f>
        <v>0</v>
      </c>
      <c r="F1026" s="19">
        <f>SUMIF('C2'!$B$6:$B$2228,B1026,'C2'!$D$6:$D$2228)</f>
        <v>0</v>
      </c>
      <c r="G1026" s="19">
        <f>SUMIF('C3'!$B$6:$B$2228,B1026,'C3'!$D$6:$D$2228)</f>
        <v>0</v>
      </c>
      <c r="H1026" s="22"/>
      <c r="I1026" s="22"/>
      <c r="J1026" s="4" t="s">
        <v>851</v>
      </c>
      <c r="K1026" s="4" t="s">
        <v>852</v>
      </c>
    </row>
    <row r="1027" spans="2:11">
      <c r="B1027" s="1">
        <v>52018</v>
      </c>
      <c r="C1027" s="4" t="s">
        <v>1073</v>
      </c>
      <c r="D1027" s="19">
        <f t="shared" si="15"/>
        <v>0</v>
      </c>
      <c r="E1027" s="19">
        <f>SUMIF('C1'!$B$6:$B$2228,B1027,'C1'!$D$6:$D$2228)</f>
        <v>0</v>
      </c>
      <c r="F1027" s="19">
        <f>SUMIF('C2'!$B$6:$B$2228,B1027,'C2'!$D$6:$D$2228)</f>
        <v>0</v>
      </c>
      <c r="G1027" s="19">
        <f>SUMIF('C3'!$B$6:$B$2228,B1027,'C3'!$D$6:$D$2228)</f>
        <v>0</v>
      </c>
      <c r="H1027" s="22"/>
      <c r="I1027" s="22"/>
      <c r="J1027" s="4" t="s">
        <v>851</v>
      </c>
      <c r="K1027" s="4" t="s">
        <v>855</v>
      </c>
    </row>
    <row r="1028" spans="2:11">
      <c r="B1028" s="1">
        <v>52019</v>
      </c>
      <c r="C1028" s="4" t="s">
        <v>1074</v>
      </c>
      <c r="D1028" s="19">
        <f t="shared" si="15"/>
        <v>0</v>
      </c>
      <c r="E1028" s="19">
        <f>SUMIF('C1'!$B$6:$B$2228,B1028,'C1'!$D$6:$D$2228)</f>
        <v>0</v>
      </c>
      <c r="F1028" s="19">
        <f>SUMIF('C2'!$B$6:$B$2228,B1028,'C2'!$D$6:$D$2228)</f>
        <v>0</v>
      </c>
      <c r="G1028" s="19">
        <f>SUMIF('C3'!$B$6:$B$2228,B1028,'C3'!$D$6:$D$2228)</f>
        <v>0</v>
      </c>
      <c r="H1028" s="22"/>
      <c r="I1028" s="22"/>
      <c r="J1028" s="4" t="s">
        <v>851</v>
      </c>
      <c r="K1028" s="4" t="s">
        <v>855</v>
      </c>
    </row>
    <row r="1029" spans="2:11">
      <c r="B1029" s="1">
        <v>52020</v>
      </c>
      <c r="C1029" s="4" t="s">
        <v>1075</v>
      </c>
      <c r="D1029" s="19">
        <f t="shared" si="15"/>
        <v>0</v>
      </c>
      <c r="E1029" s="19">
        <f>SUMIF('C1'!$B$6:$B$2228,B1029,'C1'!$D$6:$D$2228)</f>
        <v>0</v>
      </c>
      <c r="F1029" s="19">
        <f>SUMIF('C2'!$B$6:$B$2228,B1029,'C2'!$D$6:$D$2228)</f>
        <v>0</v>
      </c>
      <c r="G1029" s="19">
        <f>SUMIF('C3'!$B$6:$B$2228,B1029,'C3'!$D$6:$D$2228)</f>
        <v>0</v>
      </c>
      <c r="H1029" s="22"/>
      <c r="I1029" s="22"/>
      <c r="J1029" s="4" t="s">
        <v>851</v>
      </c>
      <c r="K1029" s="4" t="s">
        <v>855</v>
      </c>
    </row>
    <row r="1030" spans="2:11">
      <c r="B1030" s="1">
        <v>52021</v>
      </c>
      <c r="C1030" s="4" t="s">
        <v>1076</v>
      </c>
      <c r="D1030" s="19">
        <f t="shared" si="15"/>
        <v>0</v>
      </c>
      <c r="E1030" s="19">
        <f>SUMIF('C1'!$B$6:$B$2228,B1030,'C1'!$D$6:$D$2228)</f>
        <v>0</v>
      </c>
      <c r="F1030" s="19">
        <f>SUMIF('C2'!$B$6:$B$2228,B1030,'C2'!$D$6:$D$2228)</f>
        <v>0</v>
      </c>
      <c r="G1030" s="19">
        <f>SUMIF('C3'!$B$6:$B$2228,B1030,'C3'!$D$6:$D$2228)</f>
        <v>0</v>
      </c>
      <c r="H1030" s="22"/>
      <c r="I1030" s="22"/>
      <c r="J1030" s="4" t="s">
        <v>851</v>
      </c>
      <c r="K1030" s="4" t="s">
        <v>855</v>
      </c>
    </row>
    <row r="1031" spans="2:11">
      <c r="B1031" s="1">
        <v>52022</v>
      </c>
      <c r="C1031" s="4" t="s">
        <v>1077</v>
      </c>
      <c r="D1031" s="19">
        <f t="shared" ref="D1031:D1094" si="16">SUM(E1031:I1031)</f>
        <v>0</v>
      </c>
      <c r="E1031" s="19">
        <f>SUMIF('C1'!$B$6:$B$2228,B1031,'C1'!$D$6:$D$2228)</f>
        <v>0</v>
      </c>
      <c r="F1031" s="19">
        <f>SUMIF('C2'!$B$6:$B$2228,B1031,'C2'!$D$6:$D$2228)</f>
        <v>0</v>
      </c>
      <c r="G1031" s="19">
        <f>SUMIF('C3'!$B$6:$B$2228,B1031,'C3'!$D$6:$D$2228)</f>
        <v>0</v>
      </c>
      <c r="H1031" s="22"/>
      <c r="I1031" s="22"/>
      <c r="J1031" s="4" t="s">
        <v>851</v>
      </c>
      <c r="K1031" s="4" t="s">
        <v>855</v>
      </c>
    </row>
    <row r="1032" spans="2:11">
      <c r="B1032" s="1">
        <v>52023</v>
      </c>
      <c r="C1032" s="4" t="s">
        <v>1078</v>
      </c>
      <c r="D1032" s="19">
        <f t="shared" si="16"/>
        <v>0</v>
      </c>
      <c r="E1032" s="19">
        <f>SUMIF('C1'!$B$6:$B$2228,B1032,'C1'!$D$6:$D$2228)</f>
        <v>0</v>
      </c>
      <c r="F1032" s="19">
        <f>SUMIF('C2'!$B$6:$B$2228,B1032,'C2'!$D$6:$D$2228)</f>
        <v>0</v>
      </c>
      <c r="G1032" s="19">
        <f>SUMIF('C3'!$B$6:$B$2228,B1032,'C3'!$D$6:$D$2228)</f>
        <v>0</v>
      </c>
      <c r="H1032" s="22"/>
      <c r="I1032" s="22"/>
      <c r="J1032" s="4" t="s">
        <v>851</v>
      </c>
      <c r="K1032" s="4" t="s">
        <v>852</v>
      </c>
    </row>
    <row r="1033" spans="2:11">
      <c r="B1033" s="1">
        <v>52024</v>
      </c>
      <c r="C1033" s="4" t="s">
        <v>1079</v>
      </c>
      <c r="D1033" s="19">
        <f t="shared" si="16"/>
        <v>0</v>
      </c>
      <c r="E1033" s="19">
        <f>SUMIF('C1'!$B$6:$B$2228,B1033,'C1'!$D$6:$D$2228)</f>
        <v>0</v>
      </c>
      <c r="F1033" s="19">
        <f>SUMIF('C2'!$B$6:$B$2228,B1033,'C2'!$D$6:$D$2228)</f>
        <v>0</v>
      </c>
      <c r="G1033" s="19">
        <f>SUMIF('C3'!$B$6:$B$2228,B1033,'C3'!$D$6:$D$2228)</f>
        <v>0</v>
      </c>
      <c r="H1033" s="22"/>
      <c r="I1033" s="22"/>
      <c r="J1033" s="4" t="s">
        <v>851</v>
      </c>
      <c r="K1033" s="4" t="s">
        <v>852</v>
      </c>
    </row>
    <row r="1034" spans="2:11">
      <c r="B1034" s="1">
        <v>52025</v>
      </c>
      <c r="C1034" s="4" t="s">
        <v>1080</v>
      </c>
      <c r="D1034" s="19">
        <f t="shared" si="16"/>
        <v>0</v>
      </c>
      <c r="E1034" s="19">
        <f>SUMIF('C1'!$B$6:$B$2228,B1034,'C1'!$D$6:$D$2228)</f>
        <v>0</v>
      </c>
      <c r="F1034" s="19">
        <f>SUMIF('C2'!$B$6:$B$2228,B1034,'C2'!$D$6:$D$2228)</f>
        <v>0</v>
      </c>
      <c r="G1034" s="19">
        <f>SUMIF('C3'!$B$6:$B$2228,B1034,'C3'!$D$6:$D$2228)</f>
        <v>0</v>
      </c>
      <c r="H1034" s="22"/>
      <c r="I1034" s="22"/>
      <c r="J1034" s="4" t="s">
        <v>851</v>
      </c>
      <c r="K1034" s="4" t="s">
        <v>852</v>
      </c>
    </row>
    <row r="1035" spans="2:11">
      <c r="B1035" s="1">
        <v>52026</v>
      </c>
      <c r="C1035" s="4" t="s">
        <v>1081</v>
      </c>
      <c r="D1035" s="19">
        <f t="shared" si="16"/>
        <v>0</v>
      </c>
      <c r="E1035" s="19">
        <f>SUMIF('C1'!$B$6:$B$2228,B1035,'C1'!$D$6:$D$2228)</f>
        <v>0</v>
      </c>
      <c r="F1035" s="19">
        <f>SUMIF('C2'!$B$6:$B$2228,B1035,'C2'!$D$6:$D$2228)</f>
        <v>0</v>
      </c>
      <c r="G1035" s="19">
        <f>SUMIF('C3'!$B$6:$B$2228,B1035,'C3'!$D$6:$D$2228)</f>
        <v>0</v>
      </c>
      <c r="H1035" s="22"/>
      <c r="I1035" s="22"/>
      <c r="J1035" s="4" t="s">
        <v>851</v>
      </c>
      <c r="K1035" s="4" t="s">
        <v>852</v>
      </c>
    </row>
    <row r="1036" spans="2:11">
      <c r="B1036" s="1">
        <v>52027</v>
      </c>
      <c r="C1036" s="4" t="s">
        <v>1082</v>
      </c>
      <c r="D1036" s="19">
        <f t="shared" si="16"/>
        <v>0</v>
      </c>
      <c r="E1036" s="19">
        <f>SUMIF('C1'!$B$6:$B$2228,B1036,'C1'!$D$6:$D$2228)</f>
        <v>0</v>
      </c>
      <c r="F1036" s="19">
        <f>SUMIF('C2'!$B$6:$B$2228,B1036,'C2'!$D$6:$D$2228)</f>
        <v>0</v>
      </c>
      <c r="G1036" s="19">
        <f>SUMIF('C3'!$B$6:$B$2228,B1036,'C3'!$D$6:$D$2228)</f>
        <v>0</v>
      </c>
      <c r="H1036" s="22"/>
      <c r="I1036" s="22"/>
      <c r="J1036" s="4" t="s">
        <v>851</v>
      </c>
      <c r="K1036" s="4" t="s">
        <v>852</v>
      </c>
    </row>
    <row r="1037" spans="2:11">
      <c r="B1037" s="1">
        <v>52028</v>
      </c>
      <c r="C1037" s="4" t="s">
        <v>1083</v>
      </c>
      <c r="D1037" s="19">
        <f t="shared" si="16"/>
        <v>0</v>
      </c>
      <c r="E1037" s="19">
        <f>SUMIF('C1'!$B$6:$B$2228,B1037,'C1'!$D$6:$D$2228)</f>
        <v>0</v>
      </c>
      <c r="F1037" s="19">
        <f>SUMIF('C2'!$B$6:$B$2228,B1037,'C2'!$D$6:$D$2228)</f>
        <v>0</v>
      </c>
      <c r="G1037" s="19">
        <f>SUMIF('C3'!$B$6:$B$2228,B1037,'C3'!$D$6:$D$2228)</f>
        <v>0</v>
      </c>
      <c r="H1037" s="22"/>
      <c r="I1037" s="22"/>
      <c r="J1037" s="4" t="s">
        <v>851</v>
      </c>
      <c r="K1037" s="4" t="s">
        <v>852</v>
      </c>
    </row>
    <row r="1038" spans="2:11">
      <c r="B1038" s="1">
        <v>52029</v>
      </c>
      <c r="C1038" s="4" t="s">
        <v>1084</v>
      </c>
      <c r="D1038" s="19">
        <f t="shared" si="16"/>
        <v>0</v>
      </c>
      <c r="E1038" s="19">
        <f>SUMIF('C1'!$B$6:$B$2228,B1038,'C1'!$D$6:$D$2228)</f>
        <v>0</v>
      </c>
      <c r="F1038" s="19">
        <f>SUMIF('C2'!$B$6:$B$2228,B1038,'C2'!$D$6:$D$2228)</f>
        <v>0</v>
      </c>
      <c r="G1038" s="19">
        <f>SUMIF('C3'!$B$6:$B$2228,B1038,'C3'!$D$6:$D$2228)</f>
        <v>0</v>
      </c>
      <c r="H1038" s="22"/>
      <c r="I1038" s="22"/>
      <c r="J1038" s="4" t="s">
        <v>851</v>
      </c>
      <c r="K1038" s="4" t="s">
        <v>852</v>
      </c>
    </row>
    <row r="1039" spans="2:11">
      <c r="B1039" s="1">
        <v>52030</v>
      </c>
      <c r="C1039" s="4" t="s">
        <v>1085</v>
      </c>
      <c r="D1039" s="19">
        <f t="shared" si="16"/>
        <v>0</v>
      </c>
      <c r="E1039" s="19">
        <f>SUMIF('C1'!$B$6:$B$2228,B1039,'C1'!$D$6:$D$2228)</f>
        <v>0</v>
      </c>
      <c r="F1039" s="19">
        <f>SUMIF('C2'!$B$6:$B$2228,B1039,'C2'!$D$6:$D$2228)</f>
        <v>0</v>
      </c>
      <c r="G1039" s="19">
        <f>SUMIF('C3'!$B$6:$B$2228,B1039,'C3'!$D$6:$D$2228)</f>
        <v>0</v>
      </c>
      <c r="H1039" s="22"/>
      <c r="I1039" s="22"/>
      <c r="J1039" s="4" t="s">
        <v>851</v>
      </c>
      <c r="K1039" s="4" t="s">
        <v>852</v>
      </c>
    </row>
    <row r="1040" spans="2:11">
      <c r="B1040" s="1">
        <v>52031</v>
      </c>
      <c r="C1040" s="4" t="s">
        <v>1086</v>
      </c>
      <c r="D1040" s="19">
        <f t="shared" si="16"/>
        <v>0</v>
      </c>
      <c r="E1040" s="19">
        <f>SUMIF('C1'!$B$6:$B$2228,B1040,'C1'!$D$6:$D$2228)</f>
        <v>0</v>
      </c>
      <c r="F1040" s="19">
        <f>SUMIF('C2'!$B$6:$B$2228,B1040,'C2'!$D$6:$D$2228)</f>
        <v>0</v>
      </c>
      <c r="G1040" s="19">
        <f>SUMIF('C3'!$B$6:$B$2228,B1040,'C3'!$D$6:$D$2228)</f>
        <v>0</v>
      </c>
      <c r="H1040" s="22"/>
      <c r="I1040" s="22"/>
      <c r="J1040" s="4" t="s">
        <v>851</v>
      </c>
      <c r="K1040" s="4" t="s">
        <v>852</v>
      </c>
    </row>
    <row r="1041" spans="2:11">
      <c r="B1041" s="1">
        <v>52032</v>
      </c>
      <c r="C1041" s="4" t="s">
        <v>1087</v>
      </c>
      <c r="D1041" s="19">
        <f t="shared" si="16"/>
        <v>0</v>
      </c>
      <c r="E1041" s="19">
        <f>SUMIF('C1'!$B$6:$B$2228,B1041,'C1'!$D$6:$D$2228)</f>
        <v>0</v>
      </c>
      <c r="F1041" s="19">
        <f>SUMIF('C2'!$B$6:$B$2228,B1041,'C2'!$D$6:$D$2228)</f>
        <v>0</v>
      </c>
      <c r="G1041" s="19">
        <f>SUMIF('C3'!$B$6:$B$2228,B1041,'C3'!$D$6:$D$2228)</f>
        <v>0</v>
      </c>
      <c r="H1041" s="22"/>
      <c r="I1041" s="22"/>
      <c r="J1041" s="4" t="s">
        <v>851</v>
      </c>
      <c r="K1041" s="4" t="s">
        <v>852</v>
      </c>
    </row>
    <row r="1042" spans="2:11">
      <c r="B1042" s="1">
        <v>52033</v>
      </c>
      <c r="C1042" s="4" t="s">
        <v>1088</v>
      </c>
      <c r="D1042" s="19">
        <f t="shared" si="16"/>
        <v>0</v>
      </c>
      <c r="E1042" s="19">
        <f>SUMIF('C1'!$B$6:$B$2228,B1042,'C1'!$D$6:$D$2228)</f>
        <v>0</v>
      </c>
      <c r="F1042" s="19">
        <f>SUMIF('C2'!$B$6:$B$2228,B1042,'C2'!$D$6:$D$2228)</f>
        <v>0</v>
      </c>
      <c r="G1042" s="19">
        <f>SUMIF('C3'!$B$6:$B$2228,B1042,'C3'!$D$6:$D$2228)</f>
        <v>0</v>
      </c>
      <c r="H1042" s="22"/>
      <c r="I1042" s="22"/>
      <c r="J1042" s="4" t="s">
        <v>851</v>
      </c>
      <c r="K1042" s="4" t="s">
        <v>855</v>
      </c>
    </row>
    <row r="1043" spans="2:11">
      <c r="B1043" s="1">
        <v>52034</v>
      </c>
      <c r="C1043" s="4" t="s">
        <v>1089</v>
      </c>
      <c r="D1043" s="19">
        <f t="shared" si="16"/>
        <v>0</v>
      </c>
      <c r="E1043" s="19">
        <f>SUMIF('C1'!$B$6:$B$2228,B1043,'C1'!$D$6:$D$2228)</f>
        <v>0</v>
      </c>
      <c r="F1043" s="19">
        <f>SUMIF('C2'!$B$6:$B$2228,B1043,'C2'!$D$6:$D$2228)</f>
        <v>0</v>
      </c>
      <c r="G1043" s="19">
        <f>SUMIF('C3'!$B$6:$B$2228,B1043,'C3'!$D$6:$D$2228)</f>
        <v>0</v>
      </c>
      <c r="H1043" s="22"/>
      <c r="I1043" s="22"/>
      <c r="J1043" s="4" t="s">
        <v>851</v>
      </c>
      <c r="K1043" s="4" t="s">
        <v>855</v>
      </c>
    </row>
    <row r="1044" spans="2:11">
      <c r="B1044" s="1">
        <v>52035</v>
      </c>
      <c r="C1044" s="4" t="s">
        <v>1090</v>
      </c>
      <c r="D1044" s="19">
        <f t="shared" si="16"/>
        <v>0</v>
      </c>
      <c r="E1044" s="19">
        <f>SUMIF('C1'!$B$6:$B$2228,B1044,'C1'!$D$6:$D$2228)</f>
        <v>0</v>
      </c>
      <c r="F1044" s="19">
        <f>SUMIF('C2'!$B$6:$B$2228,B1044,'C2'!$D$6:$D$2228)</f>
        <v>0</v>
      </c>
      <c r="G1044" s="19">
        <f>SUMIF('C3'!$B$6:$B$2228,B1044,'C3'!$D$6:$D$2228)</f>
        <v>0</v>
      </c>
      <c r="H1044" s="22"/>
      <c r="I1044" s="22"/>
      <c r="J1044" s="4" t="s">
        <v>851</v>
      </c>
      <c r="K1044" s="4" t="s">
        <v>855</v>
      </c>
    </row>
    <row r="1045" spans="2:11">
      <c r="B1045" s="1">
        <v>52036</v>
      </c>
      <c r="C1045" s="4" t="s">
        <v>1091</v>
      </c>
      <c r="D1045" s="19">
        <f t="shared" si="16"/>
        <v>0</v>
      </c>
      <c r="E1045" s="19">
        <f>SUMIF('C1'!$B$6:$B$2228,B1045,'C1'!$D$6:$D$2228)</f>
        <v>0</v>
      </c>
      <c r="F1045" s="19">
        <f>SUMIF('C2'!$B$6:$B$2228,B1045,'C2'!$D$6:$D$2228)</f>
        <v>0</v>
      </c>
      <c r="G1045" s="19">
        <f>SUMIF('C3'!$B$6:$B$2228,B1045,'C3'!$D$6:$D$2228)</f>
        <v>0</v>
      </c>
      <c r="H1045" s="22"/>
      <c r="I1045" s="22"/>
      <c r="J1045" s="4" t="s">
        <v>851</v>
      </c>
      <c r="K1045" s="4" t="s">
        <v>855</v>
      </c>
    </row>
    <row r="1046" spans="2:11">
      <c r="B1046" s="1">
        <v>52037</v>
      </c>
      <c r="C1046" s="4" t="s">
        <v>1092</v>
      </c>
      <c r="D1046" s="19">
        <f t="shared" si="16"/>
        <v>0</v>
      </c>
      <c r="E1046" s="19">
        <f>SUMIF('C1'!$B$6:$B$2228,B1046,'C1'!$D$6:$D$2228)</f>
        <v>0</v>
      </c>
      <c r="F1046" s="19">
        <f>SUMIF('C2'!$B$6:$B$2228,B1046,'C2'!$D$6:$D$2228)</f>
        <v>0</v>
      </c>
      <c r="G1046" s="19">
        <f>SUMIF('C3'!$B$6:$B$2228,B1046,'C3'!$D$6:$D$2228)</f>
        <v>0</v>
      </c>
      <c r="H1046" s="22"/>
      <c r="I1046" s="22"/>
      <c r="J1046" s="4" t="s">
        <v>851</v>
      </c>
      <c r="K1046" s="4" t="s">
        <v>852</v>
      </c>
    </row>
    <row r="1047" spans="2:11">
      <c r="B1047" s="1">
        <v>52038</v>
      </c>
      <c r="C1047" s="4" t="s">
        <v>1093</v>
      </c>
      <c r="D1047" s="19">
        <f t="shared" si="16"/>
        <v>0</v>
      </c>
      <c r="E1047" s="19">
        <f>SUMIF('C1'!$B$6:$B$2228,B1047,'C1'!$D$6:$D$2228)</f>
        <v>0</v>
      </c>
      <c r="F1047" s="19">
        <f>SUMIF('C2'!$B$6:$B$2228,B1047,'C2'!$D$6:$D$2228)</f>
        <v>0</v>
      </c>
      <c r="G1047" s="19">
        <f>SUMIF('C3'!$B$6:$B$2228,B1047,'C3'!$D$6:$D$2228)</f>
        <v>0</v>
      </c>
      <c r="H1047" s="22"/>
      <c r="I1047" s="22"/>
      <c r="J1047" s="4" t="s">
        <v>851</v>
      </c>
      <c r="K1047" s="4" t="s">
        <v>852</v>
      </c>
    </row>
    <row r="1048" spans="2:11">
      <c r="B1048" s="1">
        <v>52039</v>
      </c>
      <c r="C1048" s="4" t="s">
        <v>1094</v>
      </c>
      <c r="D1048" s="19">
        <f t="shared" si="16"/>
        <v>0</v>
      </c>
      <c r="E1048" s="19">
        <f>SUMIF('C1'!$B$6:$B$2228,B1048,'C1'!$D$6:$D$2228)</f>
        <v>0</v>
      </c>
      <c r="F1048" s="19">
        <f>SUMIF('C2'!$B$6:$B$2228,B1048,'C2'!$D$6:$D$2228)</f>
        <v>0</v>
      </c>
      <c r="G1048" s="19">
        <f>SUMIF('C3'!$B$6:$B$2228,B1048,'C3'!$D$6:$D$2228)</f>
        <v>0</v>
      </c>
      <c r="H1048" s="22"/>
      <c r="I1048" s="22"/>
      <c r="J1048" s="4" t="s">
        <v>851</v>
      </c>
      <c r="K1048" s="4" t="s">
        <v>852</v>
      </c>
    </row>
    <row r="1049" spans="2:11">
      <c r="B1049" s="1">
        <v>52040</v>
      </c>
      <c r="C1049" s="4" t="s">
        <v>1095</v>
      </c>
      <c r="D1049" s="19">
        <f t="shared" si="16"/>
        <v>0</v>
      </c>
      <c r="E1049" s="19">
        <f>SUMIF('C1'!$B$6:$B$2228,B1049,'C1'!$D$6:$D$2228)</f>
        <v>0</v>
      </c>
      <c r="F1049" s="19">
        <f>SUMIF('C2'!$B$6:$B$2228,B1049,'C2'!$D$6:$D$2228)</f>
        <v>0</v>
      </c>
      <c r="G1049" s="19">
        <f>SUMIF('C3'!$B$6:$B$2228,B1049,'C3'!$D$6:$D$2228)</f>
        <v>0</v>
      </c>
      <c r="H1049" s="22"/>
      <c r="I1049" s="22"/>
      <c r="J1049" s="4" t="s">
        <v>851</v>
      </c>
      <c r="K1049" s="4" t="s">
        <v>852</v>
      </c>
    </row>
    <row r="1050" spans="2:11">
      <c r="B1050" s="1">
        <v>52041</v>
      </c>
      <c r="C1050" s="4" t="s">
        <v>1096</v>
      </c>
      <c r="D1050" s="19">
        <f t="shared" si="16"/>
        <v>0</v>
      </c>
      <c r="E1050" s="19">
        <f>SUMIF('C1'!$B$6:$B$2228,B1050,'C1'!$D$6:$D$2228)</f>
        <v>0</v>
      </c>
      <c r="F1050" s="19">
        <f>SUMIF('C2'!$B$6:$B$2228,B1050,'C2'!$D$6:$D$2228)</f>
        <v>0</v>
      </c>
      <c r="G1050" s="19">
        <f>SUMIF('C3'!$B$6:$B$2228,B1050,'C3'!$D$6:$D$2228)</f>
        <v>0</v>
      </c>
      <c r="H1050" s="22"/>
      <c r="I1050" s="22"/>
      <c r="J1050" s="4" t="s">
        <v>851</v>
      </c>
      <c r="K1050" s="4" t="s">
        <v>852</v>
      </c>
    </row>
    <row r="1051" spans="2:11">
      <c r="B1051" s="1">
        <v>52042</v>
      </c>
      <c r="C1051" s="4" t="s">
        <v>1097</v>
      </c>
      <c r="D1051" s="19">
        <f t="shared" si="16"/>
        <v>0</v>
      </c>
      <c r="E1051" s="19">
        <f>SUMIF('C1'!$B$6:$B$2228,B1051,'C1'!$D$6:$D$2228)</f>
        <v>0</v>
      </c>
      <c r="F1051" s="19">
        <f>SUMIF('C2'!$B$6:$B$2228,B1051,'C2'!$D$6:$D$2228)</f>
        <v>0</v>
      </c>
      <c r="G1051" s="19">
        <f>SUMIF('C3'!$B$6:$B$2228,B1051,'C3'!$D$6:$D$2228)</f>
        <v>0</v>
      </c>
      <c r="H1051" s="22"/>
      <c r="I1051" s="22"/>
      <c r="J1051" s="4" t="s">
        <v>851</v>
      </c>
      <c r="K1051" s="4" t="s">
        <v>852</v>
      </c>
    </row>
    <row r="1052" spans="2:11">
      <c r="B1052" s="1">
        <v>52043</v>
      </c>
      <c r="C1052" s="4" t="s">
        <v>1098</v>
      </c>
      <c r="D1052" s="19">
        <f t="shared" si="16"/>
        <v>0</v>
      </c>
      <c r="E1052" s="19">
        <f>SUMIF('C1'!$B$6:$B$2228,B1052,'C1'!$D$6:$D$2228)</f>
        <v>0</v>
      </c>
      <c r="F1052" s="19">
        <f>SUMIF('C2'!$B$6:$B$2228,B1052,'C2'!$D$6:$D$2228)</f>
        <v>0</v>
      </c>
      <c r="G1052" s="19">
        <f>SUMIF('C3'!$B$6:$B$2228,B1052,'C3'!$D$6:$D$2228)</f>
        <v>0</v>
      </c>
      <c r="H1052" s="22"/>
      <c r="I1052" s="22"/>
      <c r="J1052" s="4" t="s">
        <v>851</v>
      </c>
      <c r="K1052" s="4" t="s">
        <v>852</v>
      </c>
    </row>
    <row r="1053" spans="2:11">
      <c r="B1053" s="1">
        <v>52044</v>
      </c>
      <c r="C1053" s="4" t="s">
        <v>1099</v>
      </c>
      <c r="D1053" s="19">
        <f t="shared" si="16"/>
        <v>0</v>
      </c>
      <c r="E1053" s="19">
        <f>SUMIF('C1'!$B$6:$B$2228,B1053,'C1'!$D$6:$D$2228)</f>
        <v>0</v>
      </c>
      <c r="F1053" s="19">
        <f>SUMIF('C2'!$B$6:$B$2228,B1053,'C2'!$D$6:$D$2228)</f>
        <v>0</v>
      </c>
      <c r="G1053" s="19">
        <f>SUMIF('C3'!$B$6:$B$2228,B1053,'C3'!$D$6:$D$2228)</f>
        <v>0</v>
      </c>
      <c r="H1053" s="22"/>
      <c r="I1053" s="22"/>
      <c r="J1053" s="4" t="s">
        <v>851</v>
      </c>
      <c r="K1053" s="4" t="s">
        <v>855</v>
      </c>
    </row>
    <row r="1054" spans="2:11">
      <c r="B1054" s="1">
        <v>52045</v>
      </c>
      <c r="C1054" s="4" t="s">
        <v>1100</v>
      </c>
      <c r="D1054" s="19">
        <f t="shared" si="16"/>
        <v>0</v>
      </c>
      <c r="E1054" s="19">
        <f>SUMIF('C1'!$B$6:$B$2228,B1054,'C1'!$D$6:$D$2228)</f>
        <v>0</v>
      </c>
      <c r="F1054" s="19">
        <f>SUMIF('C2'!$B$6:$B$2228,B1054,'C2'!$D$6:$D$2228)</f>
        <v>0</v>
      </c>
      <c r="G1054" s="19">
        <f>SUMIF('C3'!$B$6:$B$2228,B1054,'C3'!$D$6:$D$2228)</f>
        <v>0</v>
      </c>
      <c r="H1054" s="22"/>
      <c r="I1054" s="22"/>
      <c r="J1054" s="4" t="s">
        <v>851</v>
      </c>
      <c r="K1054" s="4" t="s">
        <v>852</v>
      </c>
    </row>
    <row r="1055" spans="2:11">
      <c r="B1055" s="1">
        <v>52046</v>
      </c>
      <c r="C1055" s="4" t="s">
        <v>1101</v>
      </c>
      <c r="D1055" s="19">
        <f t="shared" si="16"/>
        <v>0</v>
      </c>
      <c r="E1055" s="19">
        <f>SUMIF('C1'!$B$6:$B$2228,B1055,'C1'!$D$6:$D$2228)</f>
        <v>0</v>
      </c>
      <c r="F1055" s="19">
        <f>SUMIF('C2'!$B$6:$B$2228,B1055,'C2'!$D$6:$D$2228)</f>
        <v>0</v>
      </c>
      <c r="G1055" s="19">
        <f>SUMIF('C3'!$B$6:$B$2228,B1055,'C3'!$D$6:$D$2228)</f>
        <v>0</v>
      </c>
      <c r="H1055" s="22"/>
      <c r="I1055" s="22"/>
      <c r="J1055" s="4" t="s">
        <v>851</v>
      </c>
      <c r="K1055" s="4" t="s">
        <v>852</v>
      </c>
    </row>
    <row r="1056" spans="2:11">
      <c r="B1056" s="1">
        <v>52047</v>
      </c>
      <c r="C1056" s="4" t="s">
        <v>1102</v>
      </c>
      <c r="D1056" s="19">
        <f t="shared" si="16"/>
        <v>0</v>
      </c>
      <c r="E1056" s="19">
        <f>SUMIF('C1'!$B$6:$B$2228,B1056,'C1'!$D$6:$D$2228)</f>
        <v>0</v>
      </c>
      <c r="F1056" s="19">
        <f>SUMIF('C2'!$B$6:$B$2228,B1056,'C2'!$D$6:$D$2228)</f>
        <v>0</v>
      </c>
      <c r="G1056" s="19">
        <f>SUMIF('C3'!$B$6:$B$2228,B1056,'C3'!$D$6:$D$2228)</f>
        <v>0</v>
      </c>
      <c r="H1056" s="22"/>
      <c r="I1056" s="22"/>
      <c r="J1056" s="4" t="s">
        <v>851</v>
      </c>
      <c r="K1056" s="4" t="s">
        <v>855</v>
      </c>
    </row>
    <row r="1057" spans="2:11">
      <c r="B1057" s="1">
        <v>52048</v>
      </c>
      <c r="C1057" s="4" t="s">
        <v>1103</v>
      </c>
      <c r="D1057" s="19">
        <f t="shared" si="16"/>
        <v>0</v>
      </c>
      <c r="E1057" s="19">
        <f>SUMIF('C1'!$B$6:$B$2228,B1057,'C1'!$D$6:$D$2228)</f>
        <v>0</v>
      </c>
      <c r="F1057" s="19">
        <f>SUMIF('C2'!$B$6:$B$2228,B1057,'C2'!$D$6:$D$2228)</f>
        <v>0</v>
      </c>
      <c r="G1057" s="19">
        <f>SUMIF('C3'!$B$6:$B$2228,B1057,'C3'!$D$6:$D$2228)</f>
        <v>0</v>
      </c>
      <c r="H1057" s="22"/>
      <c r="I1057" s="22"/>
      <c r="J1057" s="4" t="s">
        <v>851</v>
      </c>
      <c r="K1057" s="4" t="s">
        <v>852</v>
      </c>
    </row>
    <row r="1058" spans="2:11">
      <c r="B1058" s="1">
        <v>52049</v>
      </c>
      <c r="C1058" s="4" t="s">
        <v>1104</v>
      </c>
      <c r="D1058" s="19">
        <f t="shared" si="16"/>
        <v>0</v>
      </c>
      <c r="E1058" s="19">
        <f>SUMIF('C1'!$B$6:$B$2228,B1058,'C1'!$D$6:$D$2228)</f>
        <v>0</v>
      </c>
      <c r="F1058" s="19">
        <f>SUMIF('C2'!$B$6:$B$2228,B1058,'C2'!$D$6:$D$2228)</f>
        <v>0</v>
      </c>
      <c r="G1058" s="19">
        <f>SUMIF('C3'!$B$6:$B$2228,B1058,'C3'!$D$6:$D$2228)</f>
        <v>0</v>
      </c>
      <c r="H1058" s="22"/>
      <c r="I1058" s="22"/>
      <c r="J1058" s="4" t="s">
        <v>851</v>
      </c>
      <c r="K1058" s="4" t="s">
        <v>852</v>
      </c>
    </row>
    <row r="1059" spans="2:11">
      <c r="B1059" s="1">
        <v>52050</v>
      </c>
      <c r="C1059" s="4" t="s">
        <v>1105</v>
      </c>
      <c r="D1059" s="19">
        <f t="shared" si="16"/>
        <v>0</v>
      </c>
      <c r="E1059" s="19">
        <f>SUMIF('C1'!$B$6:$B$2228,B1059,'C1'!$D$6:$D$2228)</f>
        <v>0</v>
      </c>
      <c r="F1059" s="19">
        <f>SUMIF('C2'!$B$6:$B$2228,B1059,'C2'!$D$6:$D$2228)</f>
        <v>0</v>
      </c>
      <c r="G1059" s="19">
        <f>SUMIF('C3'!$B$6:$B$2228,B1059,'C3'!$D$6:$D$2228)</f>
        <v>0</v>
      </c>
      <c r="H1059" s="22"/>
      <c r="I1059" s="22"/>
      <c r="J1059" s="4" t="s">
        <v>851</v>
      </c>
      <c r="K1059" s="4" t="s">
        <v>852</v>
      </c>
    </row>
    <row r="1060" spans="2:11">
      <c r="B1060" s="1">
        <v>52051</v>
      </c>
      <c r="C1060" s="4" t="s">
        <v>1106</v>
      </c>
      <c r="D1060" s="19">
        <f t="shared" si="16"/>
        <v>0</v>
      </c>
      <c r="E1060" s="19">
        <f>SUMIF('C1'!$B$6:$B$2228,B1060,'C1'!$D$6:$D$2228)</f>
        <v>0</v>
      </c>
      <c r="F1060" s="19">
        <f>SUMIF('C2'!$B$6:$B$2228,B1060,'C2'!$D$6:$D$2228)</f>
        <v>0</v>
      </c>
      <c r="G1060" s="19">
        <f>SUMIF('C3'!$B$6:$B$2228,B1060,'C3'!$D$6:$D$2228)</f>
        <v>0</v>
      </c>
      <c r="H1060" s="22"/>
      <c r="I1060" s="22"/>
      <c r="J1060" s="4" t="s">
        <v>851</v>
      </c>
      <c r="K1060" s="4" t="s">
        <v>852</v>
      </c>
    </row>
    <row r="1061" spans="2:11">
      <c r="B1061" s="1">
        <v>52052</v>
      </c>
      <c r="C1061" s="4" t="s">
        <v>1107</v>
      </c>
      <c r="D1061" s="19">
        <f t="shared" si="16"/>
        <v>0</v>
      </c>
      <c r="E1061" s="19">
        <f>SUMIF('C1'!$B$6:$B$2228,B1061,'C1'!$D$6:$D$2228)</f>
        <v>0</v>
      </c>
      <c r="F1061" s="19">
        <f>SUMIF('C2'!$B$6:$B$2228,B1061,'C2'!$D$6:$D$2228)</f>
        <v>0</v>
      </c>
      <c r="G1061" s="19">
        <f>SUMIF('C3'!$B$6:$B$2228,B1061,'C3'!$D$6:$D$2228)</f>
        <v>0</v>
      </c>
      <c r="H1061" s="22"/>
      <c r="I1061" s="22"/>
      <c r="J1061" s="4" t="s">
        <v>851</v>
      </c>
      <c r="K1061" s="4" t="s">
        <v>852</v>
      </c>
    </row>
    <row r="1062" spans="2:11">
      <c r="B1062" s="1">
        <v>52053</v>
      </c>
      <c r="C1062" s="4" t="s">
        <v>1108</v>
      </c>
      <c r="D1062" s="19">
        <f t="shared" si="16"/>
        <v>0</v>
      </c>
      <c r="E1062" s="19">
        <f>SUMIF('C1'!$B$6:$B$2228,B1062,'C1'!$D$6:$D$2228)</f>
        <v>0</v>
      </c>
      <c r="F1062" s="19">
        <f>SUMIF('C2'!$B$6:$B$2228,B1062,'C2'!$D$6:$D$2228)</f>
        <v>0</v>
      </c>
      <c r="G1062" s="19">
        <f>SUMIF('C3'!$B$6:$B$2228,B1062,'C3'!$D$6:$D$2228)</f>
        <v>0</v>
      </c>
      <c r="H1062" s="22"/>
      <c r="I1062" s="22"/>
      <c r="J1062" s="4" t="s">
        <v>851</v>
      </c>
      <c r="K1062" s="4" t="s">
        <v>852</v>
      </c>
    </row>
    <row r="1063" spans="2:11">
      <c r="B1063" s="1">
        <v>52054</v>
      </c>
      <c r="C1063" s="4" t="s">
        <v>1109</v>
      </c>
      <c r="D1063" s="19">
        <f t="shared" si="16"/>
        <v>0</v>
      </c>
      <c r="E1063" s="19">
        <f>SUMIF('C1'!$B$6:$B$2228,B1063,'C1'!$D$6:$D$2228)</f>
        <v>0</v>
      </c>
      <c r="F1063" s="19">
        <f>SUMIF('C2'!$B$6:$B$2228,B1063,'C2'!$D$6:$D$2228)</f>
        <v>0</v>
      </c>
      <c r="G1063" s="19">
        <f>SUMIF('C3'!$B$6:$B$2228,B1063,'C3'!$D$6:$D$2228)</f>
        <v>0</v>
      </c>
      <c r="H1063" s="22"/>
      <c r="I1063" s="22"/>
      <c r="J1063" s="4" t="s">
        <v>851</v>
      </c>
      <c r="K1063" s="4" t="s">
        <v>852</v>
      </c>
    </row>
    <row r="1064" spans="2:11">
      <c r="B1064" s="1">
        <v>52055</v>
      </c>
      <c r="C1064" s="4" t="s">
        <v>1110</v>
      </c>
      <c r="D1064" s="19">
        <f t="shared" si="16"/>
        <v>0</v>
      </c>
      <c r="E1064" s="19">
        <f>SUMIF('C1'!$B$6:$B$2228,B1064,'C1'!$D$6:$D$2228)</f>
        <v>0</v>
      </c>
      <c r="F1064" s="19">
        <f>SUMIF('C2'!$B$6:$B$2228,B1064,'C2'!$D$6:$D$2228)</f>
        <v>0</v>
      </c>
      <c r="G1064" s="19">
        <f>SUMIF('C3'!$B$6:$B$2228,B1064,'C3'!$D$6:$D$2228)</f>
        <v>0</v>
      </c>
      <c r="H1064" s="22"/>
      <c r="I1064" s="22"/>
      <c r="J1064" s="4" t="s">
        <v>851</v>
      </c>
      <c r="K1064" s="4" t="s">
        <v>852</v>
      </c>
    </row>
    <row r="1065" spans="2:11">
      <c r="B1065" s="1">
        <v>52056</v>
      </c>
      <c r="C1065" s="4" t="s">
        <v>1111</v>
      </c>
      <c r="D1065" s="19">
        <f t="shared" si="16"/>
        <v>0</v>
      </c>
      <c r="E1065" s="19">
        <f>SUMIF('C1'!$B$6:$B$2228,B1065,'C1'!$D$6:$D$2228)</f>
        <v>0</v>
      </c>
      <c r="F1065" s="19">
        <f>SUMIF('C2'!$B$6:$B$2228,B1065,'C2'!$D$6:$D$2228)</f>
        <v>0</v>
      </c>
      <c r="G1065" s="19">
        <f>SUMIF('C3'!$B$6:$B$2228,B1065,'C3'!$D$6:$D$2228)</f>
        <v>0</v>
      </c>
      <c r="H1065" s="22"/>
      <c r="I1065" s="22"/>
      <c r="J1065" s="4" t="s">
        <v>851</v>
      </c>
      <c r="K1065" s="4" t="s">
        <v>855</v>
      </c>
    </row>
    <row r="1066" spans="2:11">
      <c r="B1066" s="1">
        <v>52057</v>
      </c>
      <c r="C1066" s="4" t="s">
        <v>1112</v>
      </c>
      <c r="D1066" s="19">
        <f t="shared" si="16"/>
        <v>0</v>
      </c>
      <c r="E1066" s="19">
        <f>SUMIF('C1'!$B$6:$B$2228,B1066,'C1'!$D$6:$D$2228)</f>
        <v>0</v>
      </c>
      <c r="F1066" s="19">
        <f>SUMIF('C2'!$B$6:$B$2228,B1066,'C2'!$D$6:$D$2228)</f>
        <v>0</v>
      </c>
      <c r="G1066" s="19">
        <f>SUMIF('C3'!$B$6:$B$2228,B1066,'C3'!$D$6:$D$2228)</f>
        <v>0</v>
      </c>
      <c r="H1066" s="22"/>
      <c r="I1066" s="22"/>
      <c r="J1066" s="4" t="s">
        <v>851</v>
      </c>
      <c r="K1066" s="4" t="s">
        <v>855</v>
      </c>
    </row>
    <row r="1067" spans="2:11">
      <c r="B1067" s="1">
        <v>52058</v>
      </c>
      <c r="C1067" s="4" t="s">
        <v>1113</v>
      </c>
      <c r="D1067" s="19">
        <f t="shared" si="16"/>
        <v>0</v>
      </c>
      <c r="E1067" s="19">
        <f>SUMIF('C1'!$B$6:$B$2228,B1067,'C1'!$D$6:$D$2228)</f>
        <v>0</v>
      </c>
      <c r="F1067" s="19">
        <f>SUMIF('C2'!$B$6:$B$2228,B1067,'C2'!$D$6:$D$2228)</f>
        <v>0</v>
      </c>
      <c r="G1067" s="19">
        <f>SUMIF('C3'!$B$6:$B$2228,B1067,'C3'!$D$6:$D$2228)</f>
        <v>0</v>
      </c>
      <c r="H1067" s="22"/>
      <c r="I1067" s="22"/>
      <c r="J1067" s="4" t="s">
        <v>851</v>
      </c>
      <c r="K1067" s="4" t="s">
        <v>855</v>
      </c>
    </row>
    <row r="1068" spans="2:11">
      <c r="B1068" s="1">
        <v>52059</v>
      </c>
      <c r="C1068" s="4" t="s">
        <v>1114</v>
      </c>
      <c r="D1068" s="19">
        <f t="shared" si="16"/>
        <v>0</v>
      </c>
      <c r="E1068" s="19">
        <f>SUMIF('C1'!$B$6:$B$2228,B1068,'C1'!$D$6:$D$2228)</f>
        <v>0</v>
      </c>
      <c r="F1068" s="19">
        <f>SUMIF('C2'!$B$6:$B$2228,B1068,'C2'!$D$6:$D$2228)</f>
        <v>0</v>
      </c>
      <c r="G1068" s="19">
        <f>SUMIF('C3'!$B$6:$B$2228,B1068,'C3'!$D$6:$D$2228)</f>
        <v>0</v>
      </c>
      <c r="H1068" s="22"/>
      <c r="I1068" s="22"/>
      <c r="J1068" s="4" t="s">
        <v>851</v>
      </c>
      <c r="K1068" s="4" t="s">
        <v>855</v>
      </c>
    </row>
    <row r="1069" spans="2:11">
      <c r="B1069" s="1">
        <v>52060</v>
      </c>
      <c r="C1069" s="4" t="s">
        <v>1115</v>
      </c>
      <c r="D1069" s="19">
        <f t="shared" si="16"/>
        <v>0</v>
      </c>
      <c r="E1069" s="19">
        <f>SUMIF('C1'!$B$6:$B$2228,B1069,'C1'!$D$6:$D$2228)</f>
        <v>0</v>
      </c>
      <c r="F1069" s="19">
        <f>SUMIF('C2'!$B$6:$B$2228,B1069,'C2'!$D$6:$D$2228)</f>
        <v>0</v>
      </c>
      <c r="G1069" s="19">
        <f>SUMIF('C3'!$B$6:$B$2228,B1069,'C3'!$D$6:$D$2228)</f>
        <v>0</v>
      </c>
      <c r="H1069" s="22"/>
      <c r="I1069" s="22"/>
      <c r="J1069" s="4" t="s">
        <v>851</v>
      </c>
      <c r="K1069" s="4" t="s">
        <v>855</v>
      </c>
    </row>
    <row r="1070" spans="2:11">
      <c r="B1070" s="1">
        <v>52061</v>
      </c>
      <c r="C1070" s="4" t="s">
        <v>1116</v>
      </c>
      <c r="D1070" s="19">
        <f t="shared" si="16"/>
        <v>0</v>
      </c>
      <c r="E1070" s="19">
        <f>SUMIF('C1'!$B$6:$B$2228,B1070,'C1'!$D$6:$D$2228)</f>
        <v>0</v>
      </c>
      <c r="F1070" s="19">
        <f>SUMIF('C2'!$B$6:$B$2228,B1070,'C2'!$D$6:$D$2228)</f>
        <v>0</v>
      </c>
      <c r="G1070" s="19">
        <f>SUMIF('C3'!$B$6:$B$2228,B1070,'C3'!$D$6:$D$2228)</f>
        <v>0</v>
      </c>
      <c r="H1070" s="22"/>
      <c r="I1070" s="22"/>
      <c r="J1070" s="4" t="s">
        <v>851</v>
      </c>
      <c r="K1070" s="4" t="s">
        <v>852</v>
      </c>
    </row>
    <row r="1071" spans="2:11">
      <c r="B1071" s="1">
        <v>52062</v>
      </c>
      <c r="C1071" s="4" t="s">
        <v>1117</v>
      </c>
      <c r="D1071" s="19">
        <f t="shared" si="16"/>
        <v>0</v>
      </c>
      <c r="E1071" s="19">
        <f>SUMIF('C1'!$B$6:$B$2228,B1071,'C1'!$D$6:$D$2228)</f>
        <v>0</v>
      </c>
      <c r="F1071" s="19">
        <f>SUMIF('C2'!$B$6:$B$2228,B1071,'C2'!$D$6:$D$2228)</f>
        <v>0</v>
      </c>
      <c r="G1071" s="19">
        <f>SUMIF('C3'!$B$6:$B$2228,B1071,'C3'!$D$6:$D$2228)</f>
        <v>0</v>
      </c>
      <c r="H1071" s="22"/>
      <c r="I1071" s="22"/>
      <c r="J1071" s="4" t="s">
        <v>851</v>
      </c>
      <c r="K1071" s="4" t="s">
        <v>852</v>
      </c>
    </row>
    <row r="1072" spans="2:11">
      <c r="B1072" s="1">
        <v>52063</v>
      </c>
      <c r="C1072" s="4" t="s">
        <v>1118</v>
      </c>
      <c r="D1072" s="19">
        <f t="shared" si="16"/>
        <v>0</v>
      </c>
      <c r="E1072" s="19">
        <f>SUMIF('C1'!$B$6:$B$2228,B1072,'C1'!$D$6:$D$2228)</f>
        <v>0</v>
      </c>
      <c r="F1072" s="19">
        <f>SUMIF('C2'!$B$6:$B$2228,B1072,'C2'!$D$6:$D$2228)</f>
        <v>0</v>
      </c>
      <c r="G1072" s="19">
        <f>SUMIF('C3'!$B$6:$B$2228,B1072,'C3'!$D$6:$D$2228)</f>
        <v>0</v>
      </c>
      <c r="H1072" s="22"/>
      <c r="I1072" s="22"/>
      <c r="J1072" s="4" t="s">
        <v>851</v>
      </c>
      <c r="K1072" s="4" t="s">
        <v>852</v>
      </c>
    </row>
    <row r="1073" spans="2:11">
      <c r="B1073" s="1">
        <v>52064</v>
      </c>
      <c r="C1073" s="4" t="s">
        <v>1119</v>
      </c>
      <c r="D1073" s="19">
        <f t="shared" si="16"/>
        <v>0</v>
      </c>
      <c r="E1073" s="19">
        <f>SUMIF('C1'!$B$6:$B$2228,B1073,'C1'!$D$6:$D$2228)</f>
        <v>0</v>
      </c>
      <c r="F1073" s="19">
        <f>SUMIF('C2'!$B$6:$B$2228,B1073,'C2'!$D$6:$D$2228)</f>
        <v>0</v>
      </c>
      <c r="G1073" s="19">
        <f>SUMIF('C3'!$B$6:$B$2228,B1073,'C3'!$D$6:$D$2228)</f>
        <v>0</v>
      </c>
      <c r="H1073" s="22"/>
      <c r="I1073" s="22"/>
      <c r="J1073" s="4" t="s">
        <v>851</v>
      </c>
      <c r="K1073" s="4" t="s">
        <v>852</v>
      </c>
    </row>
    <row r="1074" spans="2:11">
      <c r="B1074" s="1">
        <v>52065</v>
      </c>
      <c r="C1074" s="4" t="s">
        <v>1120</v>
      </c>
      <c r="D1074" s="19">
        <f t="shared" si="16"/>
        <v>0</v>
      </c>
      <c r="E1074" s="19">
        <f>SUMIF('C1'!$B$6:$B$2228,B1074,'C1'!$D$6:$D$2228)</f>
        <v>0</v>
      </c>
      <c r="F1074" s="19">
        <f>SUMIF('C2'!$B$6:$B$2228,B1074,'C2'!$D$6:$D$2228)</f>
        <v>0</v>
      </c>
      <c r="G1074" s="19">
        <f>SUMIF('C3'!$B$6:$B$2228,B1074,'C3'!$D$6:$D$2228)</f>
        <v>0</v>
      </c>
      <c r="H1074" s="22"/>
      <c r="I1074" s="22"/>
      <c r="J1074" s="4" t="s">
        <v>851</v>
      </c>
      <c r="K1074" s="4" t="s">
        <v>852</v>
      </c>
    </row>
    <row r="1075" spans="2:11">
      <c r="B1075" s="1">
        <v>52066</v>
      </c>
      <c r="C1075" s="4" t="s">
        <v>1121</v>
      </c>
      <c r="D1075" s="19">
        <f t="shared" si="16"/>
        <v>0</v>
      </c>
      <c r="E1075" s="19">
        <f>SUMIF('C1'!$B$6:$B$2228,B1075,'C1'!$D$6:$D$2228)</f>
        <v>0</v>
      </c>
      <c r="F1075" s="19">
        <f>SUMIF('C2'!$B$6:$B$2228,B1075,'C2'!$D$6:$D$2228)</f>
        <v>0</v>
      </c>
      <c r="G1075" s="19">
        <f>SUMIF('C3'!$B$6:$B$2228,B1075,'C3'!$D$6:$D$2228)</f>
        <v>0</v>
      </c>
      <c r="H1075" s="22"/>
      <c r="I1075" s="22"/>
      <c r="J1075" s="4" t="s">
        <v>851</v>
      </c>
      <c r="K1075" s="4" t="s">
        <v>855</v>
      </c>
    </row>
    <row r="1076" spans="2:11">
      <c r="B1076" s="1">
        <v>52067</v>
      </c>
      <c r="C1076" s="4" t="s">
        <v>1122</v>
      </c>
      <c r="D1076" s="19">
        <f t="shared" si="16"/>
        <v>0</v>
      </c>
      <c r="E1076" s="19">
        <f>SUMIF('C1'!$B$6:$B$2228,B1076,'C1'!$D$6:$D$2228)</f>
        <v>0</v>
      </c>
      <c r="F1076" s="19">
        <f>SUMIF('C2'!$B$6:$B$2228,B1076,'C2'!$D$6:$D$2228)</f>
        <v>0</v>
      </c>
      <c r="G1076" s="19">
        <f>SUMIF('C3'!$B$6:$B$2228,B1076,'C3'!$D$6:$D$2228)</f>
        <v>0</v>
      </c>
      <c r="H1076" s="22"/>
      <c r="I1076" s="22"/>
      <c r="J1076" s="4" t="s">
        <v>851</v>
      </c>
      <c r="K1076" s="4" t="s">
        <v>852</v>
      </c>
    </row>
    <row r="1077" spans="2:11">
      <c r="B1077" s="1">
        <v>52068</v>
      </c>
      <c r="C1077" s="4" t="s">
        <v>1123</v>
      </c>
      <c r="D1077" s="19">
        <f t="shared" si="16"/>
        <v>0</v>
      </c>
      <c r="E1077" s="19">
        <f>SUMIF('C1'!$B$6:$B$2228,B1077,'C1'!$D$6:$D$2228)</f>
        <v>0</v>
      </c>
      <c r="F1077" s="19">
        <f>SUMIF('C2'!$B$6:$B$2228,B1077,'C2'!$D$6:$D$2228)</f>
        <v>0</v>
      </c>
      <c r="G1077" s="19">
        <f>SUMIF('C3'!$B$6:$B$2228,B1077,'C3'!$D$6:$D$2228)</f>
        <v>0</v>
      </c>
      <c r="H1077" s="22"/>
      <c r="I1077" s="22"/>
      <c r="J1077" s="4" t="s">
        <v>851</v>
      </c>
      <c r="K1077" s="4" t="s">
        <v>852</v>
      </c>
    </row>
    <row r="1078" spans="2:11">
      <c r="B1078" s="1">
        <v>52069</v>
      </c>
      <c r="C1078" s="4" t="s">
        <v>1124</v>
      </c>
      <c r="D1078" s="19">
        <f t="shared" si="16"/>
        <v>0</v>
      </c>
      <c r="E1078" s="19">
        <f>SUMIF('C1'!$B$6:$B$2228,B1078,'C1'!$D$6:$D$2228)</f>
        <v>0</v>
      </c>
      <c r="F1078" s="19">
        <f>SUMIF('C2'!$B$6:$B$2228,B1078,'C2'!$D$6:$D$2228)</f>
        <v>0</v>
      </c>
      <c r="G1078" s="19">
        <f>SUMIF('C3'!$B$6:$B$2228,B1078,'C3'!$D$6:$D$2228)</f>
        <v>0</v>
      </c>
      <c r="H1078" s="22"/>
      <c r="I1078" s="22"/>
      <c r="J1078" s="4" t="s">
        <v>851</v>
      </c>
      <c r="K1078" s="4" t="s">
        <v>852</v>
      </c>
    </row>
    <row r="1079" spans="2:11">
      <c r="B1079" s="1">
        <v>52070</v>
      </c>
      <c r="C1079" s="4" t="s">
        <v>1125</v>
      </c>
      <c r="D1079" s="19">
        <f t="shared" si="16"/>
        <v>0</v>
      </c>
      <c r="E1079" s="19">
        <f>SUMIF('C1'!$B$6:$B$2228,B1079,'C1'!$D$6:$D$2228)</f>
        <v>0</v>
      </c>
      <c r="F1079" s="19">
        <f>SUMIF('C2'!$B$6:$B$2228,B1079,'C2'!$D$6:$D$2228)</f>
        <v>0</v>
      </c>
      <c r="G1079" s="19">
        <f>SUMIF('C3'!$B$6:$B$2228,B1079,'C3'!$D$6:$D$2228)</f>
        <v>0</v>
      </c>
      <c r="H1079" s="22"/>
      <c r="I1079" s="22"/>
      <c r="J1079" s="4" t="s">
        <v>851</v>
      </c>
      <c r="K1079" s="4" t="s">
        <v>852</v>
      </c>
    </row>
    <row r="1080" spans="2:11">
      <c r="B1080" s="1">
        <v>52071</v>
      </c>
      <c r="C1080" s="4" t="s">
        <v>1126</v>
      </c>
      <c r="D1080" s="19">
        <f t="shared" si="16"/>
        <v>0</v>
      </c>
      <c r="E1080" s="19">
        <f>SUMIF('C1'!$B$6:$B$2228,B1080,'C1'!$D$6:$D$2228)</f>
        <v>0</v>
      </c>
      <c r="F1080" s="19">
        <f>SUMIF('C2'!$B$6:$B$2228,B1080,'C2'!$D$6:$D$2228)</f>
        <v>0</v>
      </c>
      <c r="G1080" s="19">
        <f>SUMIF('C3'!$B$6:$B$2228,B1080,'C3'!$D$6:$D$2228)</f>
        <v>0</v>
      </c>
      <c r="H1080" s="22"/>
      <c r="I1080" s="22"/>
      <c r="J1080" s="4" t="s">
        <v>851</v>
      </c>
      <c r="K1080" s="4" t="s">
        <v>852</v>
      </c>
    </row>
    <row r="1081" spans="2:11">
      <c r="B1081" s="1">
        <v>52072</v>
      </c>
      <c r="C1081" s="4" t="s">
        <v>1127</v>
      </c>
      <c r="D1081" s="19">
        <f t="shared" si="16"/>
        <v>0</v>
      </c>
      <c r="E1081" s="19">
        <f>SUMIF('C1'!$B$6:$B$2228,B1081,'C1'!$D$6:$D$2228)</f>
        <v>0</v>
      </c>
      <c r="F1081" s="19">
        <f>SUMIF('C2'!$B$6:$B$2228,B1081,'C2'!$D$6:$D$2228)</f>
        <v>0</v>
      </c>
      <c r="G1081" s="19">
        <f>SUMIF('C3'!$B$6:$B$2228,B1081,'C3'!$D$6:$D$2228)</f>
        <v>0</v>
      </c>
      <c r="H1081" s="22"/>
      <c r="I1081" s="22"/>
      <c r="J1081" s="4" t="s">
        <v>851</v>
      </c>
      <c r="K1081" s="4" t="s">
        <v>852</v>
      </c>
    </row>
    <row r="1082" spans="2:11">
      <c r="B1082" s="1">
        <v>52073</v>
      </c>
      <c r="C1082" s="4" t="s">
        <v>1128</v>
      </c>
      <c r="D1082" s="19">
        <f t="shared" si="16"/>
        <v>0</v>
      </c>
      <c r="E1082" s="19">
        <f>SUMIF('C1'!$B$6:$B$2228,B1082,'C1'!$D$6:$D$2228)</f>
        <v>0</v>
      </c>
      <c r="F1082" s="19">
        <f>SUMIF('C2'!$B$6:$B$2228,B1082,'C2'!$D$6:$D$2228)</f>
        <v>0</v>
      </c>
      <c r="G1082" s="19">
        <f>SUMIF('C3'!$B$6:$B$2228,B1082,'C3'!$D$6:$D$2228)</f>
        <v>0</v>
      </c>
      <c r="H1082" s="22"/>
      <c r="I1082" s="22"/>
      <c r="J1082" s="4" t="s">
        <v>851</v>
      </c>
      <c r="K1082" s="4" t="s">
        <v>852</v>
      </c>
    </row>
    <row r="1083" spans="2:11">
      <c r="B1083" s="1">
        <v>52074</v>
      </c>
      <c r="C1083" s="4" t="s">
        <v>1129</v>
      </c>
      <c r="D1083" s="19">
        <f t="shared" si="16"/>
        <v>0</v>
      </c>
      <c r="E1083" s="19">
        <f>SUMIF('C1'!$B$6:$B$2228,B1083,'C1'!$D$6:$D$2228)</f>
        <v>0</v>
      </c>
      <c r="F1083" s="19">
        <f>SUMIF('C2'!$B$6:$B$2228,B1083,'C2'!$D$6:$D$2228)</f>
        <v>0</v>
      </c>
      <c r="G1083" s="19">
        <f>SUMIF('C3'!$B$6:$B$2228,B1083,'C3'!$D$6:$D$2228)</f>
        <v>0</v>
      </c>
      <c r="H1083" s="22"/>
      <c r="I1083" s="22"/>
      <c r="J1083" s="4" t="s">
        <v>851</v>
      </c>
      <c r="K1083" s="4" t="s">
        <v>855</v>
      </c>
    </row>
    <row r="1084" spans="2:11">
      <c r="B1084" s="1">
        <v>52075</v>
      </c>
      <c r="C1084" s="4" t="s">
        <v>1130</v>
      </c>
      <c r="D1084" s="19">
        <f t="shared" si="16"/>
        <v>0</v>
      </c>
      <c r="E1084" s="19">
        <f>SUMIF('C1'!$B$6:$B$2228,B1084,'C1'!$D$6:$D$2228)</f>
        <v>0</v>
      </c>
      <c r="F1084" s="19">
        <f>SUMIF('C2'!$B$6:$B$2228,B1084,'C2'!$D$6:$D$2228)</f>
        <v>0</v>
      </c>
      <c r="G1084" s="19">
        <f>SUMIF('C3'!$B$6:$B$2228,B1084,'C3'!$D$6:$D$2228)</f>
        <v>0</v>
      </c>
      <c r="H1084" s="22"/>
      <c r="I1084" s="22"/>
      <c r="J1084" s="4" t="s">
        <v>851</v>
      </c>
      <c r="K1084" s="4" t="s">
        <v>855</v>
      </c>
    </row>
    <row r="1085" spans="2:11">
      <c r="B1085" s="1">
        <v>52076</v>
      </c>
      <c r="C1085" s="4" t="s">
        <v>1131</v>
      </c>
      <c r="D1085" s="19">
        <f t="shared" si="16"/>
        <v>0</v>
      </c>
      <c r="E1085" s="19">
        <f>SUMIF('C1'!$B$6:$B$2228,B1085,'C1'!$D$6:$D$2228)</f>
        <v>0</v>
      </c>
      <c r="F1085" s="19">
        <f>SUMIF('C2'!$B$6:$B$2228,B1085,'C2'!$D$6:$D$2228)</f>
        <v>0</v>
      </c>
      <c r="G1085" s="19">
        <f>SUMIF('C3'!$B$6:$B$2228,B1085,'C3'!$D$6:$D$2228)</f>
        <v>0</v>
      </c>
      <c r="H1085" s="22"/>
      <c r="I1085" s="22"/>
      <c r="J1085" s="4" t="s">
        <v>851</v>
      </c>
      <c r="K1085" s="4" t="s">
        <v>855</v>
      </c>
    </row>
    <row r="1086" spans="2:11">
      <c r="B1086" s="1">
        <v>52077</v>
      </c>
      <c r="C1086" s="4" t="s">
        <v>1132</v>
      </c>
      <c r="D1086" s="19">
        <f t="shared" si="16"/>
        <v>0</v>
      </c>
      <c r="E1086" s="19">
        <f>SUMIF('C1'!$B$6:$B$2228,B1086,'C1'!$D$6:$D$2228)</f>
        <v>0</v>
      </c>
      <c r="F1086" s="19">
        <f>SUMIF('C2'!$B$6:$B$2228,B1086,'C2'!$D$6:$D$2228)</f>
        <v>0</v>
      </c>
      <c r="G1086" s="19">
        <f>SUMIF('C3'!$B$6:$B$2228,B1086,'C3'!$D$6:$D$2228)</f>
        <v>0</v>
      </c>
      <c r="H1086" s="22"/>
      <c r="I1086" s="22"/>
      <c r="J1086" s="4" t="s">
        <v>851</v>
      </c>
      <c r="K1086" s="4" t="s">
        <v>852</v>
      </c>
    </row>
    <row r="1087" spans="2:11">
      <c r="B1087" s="1">
        <v>52078</v>
      </c>
      <c r="C1087" s="4" t="s">
        <v>1133</v>
      </c>
      <c r="D1087" s="19">
        <f t="shared" si="16"/>
        <v>0</v>
      </c>
      <c r="E1087" s="19">
        <f>SUMIF('C1'!$B$6:$B$2228,B1087,'C1'!$D$6:$D$2228)</f>
        <v>0</v>
      </c>
      <c r="F1087" s="19">
        <f>SUMIF('C2'!$B$6:$B$2228,B1087,'C2'!$D$6:$D$2228)</f>
        <v>0</v>
      </c>
      <c r="G1087" s="19">
        <f>SUMIF('C3'!$B$6:$B$2228,B1087,'C3'!$D$6:$D$2228)</f>
        <v>0</v>
      </c>
      <c r="H1087" s="22"/>
      <c r="I1087" s="22"/>
      <c r="J1087" s="4" t="s">
        <v>851</v>
      </c>
      <c r="K1087" s="4" t="s">
        <v>852</v>
      </c>
    </row>
    <row r="1088" spans="2:11">
      <c r="B1088" s="1">
        <v>52079</v>
      </c>
      <c r="C1088" s="4" t="s">
        <v>1134</v>
      </c>
      <c r="D1088" s="19">
        <f t="shared" si="16"/>
        <v>0</v>
      </c>
      <c r="E1088" s="19">
        <f>SUMIF('C1'!$B$6:$B$2228,B1088,'C1'!$D$6:$D$2228)</f>
        <v>0</v>
      </c>
      <c r="F1088" s="19">
        <f>SUMIF('C2'!$B$6:$B$2228,B1088,'C2'!$D$6:$D$2228)</f>
        <v>0</v>
      </c>
      <c r="G1088" s="19">
        <f>SUMIF('C3'!$B$6:$B$2228,B1088,'C3'!$D$6:$D$2228)</f>
        <v>0</v>
      </c>
      <c r="H1088" s="22"/>
      <c r="I1088" s="22"/>
      <c r="J1088" s="4" t="s">
        <v>851</v>
      </c>
      <c r="K1088" s="4" t="s">
        <v>852</v>
      </c>
    </row>
    <row r="1089" spans="2:11">
      <c r="B1089" s="1">
        <v>52080</v>
      </c>
      <c r="C1089" s="4" t="s">
        <v>1135</v>
      </c>
      <c r="D1089" s="19">
        <f t="shared" si="16"/>
        <v>0</v>
      </c>
      <c r="E1089" s="19">
        <f>SUMIF('C1'!$B$6:$B$2228,B1089,'C1'!$D$6:$D$2228)</f>
        <v>0</v>
      </c>
      <c r="F1089" s="19">
        <f>SUMIF('C2'!$B$6:$B$2228,B1089,'C2'!$D$6:$D$2228)</f>
        <v>0</v>
      </c>
      <c r="G1089" s="19">
        <f>SUMIF('C3'!$B$6:$B$2228,B1089,'C3'!$D$6:$D$2228)</f>
        <v>0</v>
      </c>
      <c r="H1089" s="22"/>
      <c r="I1089" s="22"/>
      <c r="J1089" s="4" t="s">
        <v>851</v>
      </c>
      <c r="K1089" s="4" t="s">
        <v>855</v>
      </c>
    </row>
    <row r="1090" spans="2:11">
      <c r="B1090" s="1">
        <v>52081</v>
      </c>
      <c r="C1090" s="4" t="s">
        <v>1136</v>
      </c>
      <c r="D1090" s="19">
        <f t="shared" si="16"/>
        <v>0</v>
      </c>
      <c r="E1090" s="19">
        <f>SUMIF('C1'!$B$6:$B$2228,B1090,'C1'!$D$6:$D$2228)</f>
        <v>0</v>
      </c>
      <c r="F1090" s="19">
        <f>SUMIF('C2'!$B$6:$B$2228,B1090,'C2'!$D$6:$D$2228)</f>
        <v>0</v>
      </c>
      <c r="G1090" s="19">
        <f>SUMIF('C3'!$B$6:$B$2228,B1090,'C3'!$D$6:$D$2228)</f>
        <v>0</v>
      </c>
      <c r="H1090" s="22"/>
      <c r="I1090" s="22"/>
      <c r="J1090" s="4" t="s">
        <v>851</v>
      </c>
      <c r="K1090" s="4" t="s">
        <v>852</v>
      </c>
    </row>
    <row r="1091" spans="2:11">
      <c r="B1091" s="1">
        <v>52082</v>
      </c>
      <c r="C1091" s="4" t="s">
        <v>1137</v>
      </c>
      <c r="D1091" s="19">
        <f t="shared" si="16"/>
        <v>0</v>
      </c>
      <c r="E1091" s="19">
        <f>SUMIF('C1'!$B$6:$B$2228,B1091,'C1'!$D$6:$D$2228)</f>
        <v>0</v>
      </c>
      <c r="F1091" s="19">
        <f>SUMIF('C2'!$B$6:$B$2228,B1091,'C2'!$D$6:$D$2228)</f>
        <v>0</v>
      </c>
      <c r="G1091" s="19">
        <f>SUMIF('C3'!$B$6:$B$2228,B1091,'C3'!$D$6:$D$2228)</f>
        <v>0</v>
      </c>
      <c r="H1091" s="22"/>
      <c r="I1091" s="22"/>
      <c r="J1091" s="4" t="s">
        <v>851</v>
      </c>
      <c r="K1091" s="4" t="s">
        <v>855</v>
      </c>
    </row>
    <row r="1092" spans="2:11">
      <c r="B1092" s="1">
        <v>52083</v>
      </c>
      <c r="C1092" s="4" t="s">
        <v>1138</v>
      </c>
      <c r="D1092" s="19">
        <f t="shared" si="16"/>
        <v>0</v>
      </c>
      <c r="E1092" s="19">
        <f>SUMIF('C1'!$B$6:$B$2228,B1092,'C1'!$D$6:$D$2228)</f>
        <v>0</v>
      </c>
      <c r="F1092" s="19">
        <f>SUMIF('C2'!$B$6:$B$2228,B1092,'C2'!$D$6:$D$2228)</f>
        <v>0</v>
      </c>
      <c r="G1092" s="19">
        <f>SUMIF('C3'!$B$6:$B$2228,B1092,'C3'!$D$6:$D$2228)</f>
        <v>0</v>
      </c>
      <c r="H1092" s="22"/>
      <c r="I1092" s="22"/>
      <c r="J1092" s="4" t="s">
        <v>851</v>
      </c>
      <c r="K1092" s="4" t="s">
        <v>855</v>
      </c>
    </row>
    <row r="1093" spans="2:11">
      <c r="B1093" s="1">
        <v>52084</v>
      </c>
      <c r="C1093" s="4" t="s">
        <v>1139</v>
      </c>
      <c r="D1093" s="19">
        <f t="shared" si="16"/>
        <v>0</v>
      </c>
      <c r="E1093" s="19">
        <f>SUMIF('C1'!$B$6:$B$2228,B1093,'C1'!$D$6:$D$2228)</f>
        <v>0</v>
      </c>
      <c r="F1093" s="19">
        <f>SUMIF('C2'!$B$6:$B$2228,B1093,'C2'!$D$6:$D$2228)</f>
        <v>0</v>
      </c>
      <c r="G1093" s="19">
        <f>SUMIF('C3'!$B$6:$B$2228,B1093,'C3'!$D$6:$D$2228)</f>
        <v>0</v>
      </c>
      <c r="H1093" s="22"/>
      <c r="I1093" s="22"/>
      <c r="J1093" s="4" t="s">
        <v>851</v>
      </c>
      <c r="K1093" s="4" t="s">
        <v>855</v>
      </c>
    </row>
    <row r="1094" spans="2:11">
      <c r="B1094" s="1">
        <v>60001</v>
      </c>
      <c r="C1094" s="4" t="s">
        <v>1140</v>
      </c>
      <c r="D1094" s="19">
        <f t="shared" si="16"/>
        <v>0</v>
      </c>
      <c r="E1094" s="19">
        <f>SUMIF('C1'!$B$6:$B$2228,B1094,'C1'!$D$6:$D$2228)</f>
        <v>0</v>
      </c>
      <c r="F1094" s="19">
        <f>SUMIF('C2'!$B$6:$B$2228,B1094,'C2'!$D$6:$D$2228)</f>
        <v>0</v>
      </c>
      <c r="G1094" s="19">
        <f>SUMIF('C3'!$B$6:$B$2228,B1094,'C3'!$D$6:$D$2228)</f>
        <v>0</v>
      </c>
      <c r="H1094" s="22"/>
      <c r="I1094" s="22"/>
      <c r="J1094" s="4" t="s">
        <v>1141</v>
      </c>
      <c r="K1094" s="4" t="s">
        <v>1142</v>
      </c>
    </row>
  </sheetData>
  <conditionalFormatting sqref="E3">
    <cfRule type="cellIs" dxfId="4" priority="4" operator="notEqual">
      <formula>$E$2</formula>
    </cfRule>
  </conditionalFormatting>
  <conditionalFormatting sqref="F3">
    <cfRule type="cellIs" dxfId="3" priority="3" operator="notEqual">
      <formula>F$2</formula>
    </cfRule>
  </conditionalFormatting>
  <conditionalFormatting sqref="E3">
    <cfRule type="cellIs" dxfId="2" priority="2" operator="notEqual">
      <formula>E$2</formula>
    </cfRule>
  </conditionalFormatting>
  <conditionalFormatting sqref="G3">
    <cfRule type="cellIs" dxfId="1" priority="1" operator="notEqual">
      <formula>G$2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1"/>
  <dimension ref="A1:G33"/>
  <sheetViews>
    <sheetView zoomScale="106" zoomScaleNormal="106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5" sqref="D5"/>
    </sheetView>
  </sheetViews>
  <sheetFormatPr baseColWidth="10" defaultRowHeight="15"/>
  <cols>
    <col min="1" max="1" width="7" style="1" bestFit="1" customWidth="1"/>
    <col min="2" max="2" width="11.42578125" style="1"/>
    <col min="3" max="3" width="46.140625" style="6" bestFit="1" customWidth="1"/>
    <col min="4" max="4" width="13.7109375" style="1" bestFit="1" customWidth="1"/>
    <col min="5" max="5" width="17.140625" style="1" bestFit="1" customWidth="1"/>
    <col min="6" max="6" width="12.140625" style="1" bestFit="1" customWidth="1"/>
    <col min="7" max="16384" width="11.42578125" style="1"/>
  </cols>
  <sheetData>
    <row r="1" spans="1:7" ht="30" customHeight="1" thickBot="1">
      <c r="A1" s="13"/>
      <c r="B1" s="13"/>
      <c r="C1" s="14"/>
      <c r="D1" s="47" t="s">
        <v>1190</v>
      </c>
      <c r="E1" s="41">
        <f ca="1">TODAY()</f>
        <v>42535</v>
      </c>
      <c r="G1" s="42">
        <f>SUM(D6:D39)</f>
        <v>3738</v>
      </c>
    </row>
    <row r="2" spans="1:7">
      <c r="A2" s="13"/>
      <c r="B2" s="13"/>
      <c r="C2" s="48"/>
      <c r="D2" s="13"/>
      <c r="E2" s="13"/>
    </row>
    <row r="3" spans="1:7" ht="26.25">
      <c r="A3" s="13"/>
      <c r="B3" s="13"/>
      <c r="C3" s="49" t="b">
        <f>ISNUMBER(SEARCH($D$1,C6,1))</f>
        <v>0</v>
      </c>
      <c r="D3" s="13"/>
      <c r="E3" s="13"/>
      <c r="F3" s="42" t="b">
        <f ca="1">AND(MONTH(E6)=MONTH($E$1),YEAR(E6)=YEAR($E$1),DAY(E6)&gt;=DAY($E$1))</f>
        <v>0</v>
      </c>
      <c r="G3" s="43">
        <f ca="1">IF(E6&lt;$E$1,1,0)</f>
        <v>1</v>
      </c>
    </row>
    <row r="4" spans="1:7">
      <c r="A4" s="13"/>
      <c r="B4" s="13"/>
      <c r="C4" s="14"/>
      <c r="D4" s="13"/>
      <c r="E4" s="13"/>
    </row>
    <row r="5" spans="1:7" ht="26.25">
      <c r="A5" s="5" t="s">
        <v>8</v>
      </c>
      <c r="B5" s="5" t="s">
        <v>7</v>
      </c>
      <c r="C5" s="7" t="s">
        <v>1146</v>
      </c>
      <c r="D5" s="5" t="s">
        <v>1143</v>
      </c>
      <c r="E5" s="5" t="s">
        <v>1144</v>
      </c>
    </row>
    <row r="6" spans="1:7">
      <c r="A6" s="1">
        <v>54</v>
      </c>
      <c r="B6" s="1">
        <v>506</v>
      </c>
      <c r="C6" s="6" t="str">
        <f>IF(ISBLANK(B6)," ",VLOOKUP(B6,TOTAL!$B$6:$C$1094,2,0))</f>
        <v>ENTRAÑA CARNES PAMPEANAS A/V</v>
      </c>
      <c r="D6" s="1">
        <v>500</v>
      </c>
      <c r="E6" s="2">
        <v>42259</v>
      </c>
    </row>
    <row r="7" spans="1:7" ht="26.25">
      <c r="A7" s="1">
        <v>2</v>
      </c>
      <c r="B7" s="1">
        <v>1</v>
      </c>
      <c r="C7" s="6" t="str">
        <f>IF(ISBLANK(B7)," ",VLOOKUP(B7,TOTAL!$B$6:$C$1094,2,0))</f>
        <v>MOLLEJA SWIFT GARGANTA</v>
      </c>
      <c r="D7" s="1">
        <v>1000</v>
      </c>
      <c r="E7" s="2">
        <v>42257</v>
      </c>
      <c r="G7" s="12"/>
    </row>
    <row r="8" spans="1:7" ht="26.25">
      <c r="A8" s="1">
        <v>11</v>
      </c>
      <c r="B8" s="1">
        <v>8</v>
      </c>
      <c r="C8" s="6" t="str">
        <f>IF(ISBLANK(B8)," ",VLOOKUP(B8,TOTAL!$B$6:$C$1094,2,0))</f>
        <v>MONDONGO CIMMINO CUBETEADO CONGELADO</v>
      </c>
      <c r="D8" s="1">
        <v>356</v>
      </c>
      <c r="E8" s="2">
        <v>42289</v>
      </c>
      <c r="G8" s="12"/>
    </row>
    <row r="9" spans="1:7" ht="26.25">
      <c r="A9" s="1">
        <v>4</v>
      </c>
      <c r="B9" s="1">
        <v>7</v>
      </c>
      <c r="C9" s="6" t="str">
        <f>IF(ISBLANK(B9)," ",VLOOKUP(B9,TOTAL!$B$6:$C$1094,2,0))</f>
        <v>LENGUA RAFAELA</v>
      </c>
      <c r="D9" s="1">
        <v>68</v>
      </c>
      <c r="E9" s="2">
        <v>42320</v>
      </c>
      <c r="G9" s="12"/>
    </row>
    <row r="10" spans="1:7" ht="26.25">
      <c r="A10" s="1">
        <v>5</v>
      </c>
      <c r="B10" s="1">
        <v>6</v>
      </c>
      <c r="C10" s="6" t="str">
        <f>IF(ISBLANK(B10)," ",VLOOKUP(B10,TOTAL!$B$6:$C$1094,2,0))</f>
        <v>MOLLEJA CIMMINO CONGELADA</v>
      </c>
      <c r="D10" s="1">
        <v>254</v>
      </c>
      <c r="E10" s="2">
        <v>42350</v>
      </c>
      <c r="G10" s="12"/>
    </row>
    <row r="11" spans="1:7" ht="26.25">
      <c r="A11" s="1">
        <v>6</v>
      </c>
      <c r="B11" s="1">
        <v>1</v>
      </c>
      <c r="C11" s="6" t="str">
        <f>IF(ISBLANK(B11)," ",VLOOKUP(B11,TOTAL!$B$6:$C$1094,2,0))</f>
        <v>MOLLEJA SWIFT GARGANTA</v>
      </c>
      <c r="D11" s="1">
        <v>326</v>
      </c>
      <c r="E11" s="2">
        <v>42017</v>
      </c>
      <c r="G11" s="12"/>
    </row>
    <row r="12" spans="1:7" ht="26.25">
      <c r="A12" s="1">
        <v>7</v>
      </c>
      <c r="B12" s="1">
        <v>85</v>
      </c>
      <c r="C12" s="6" t="str">
        <f>IF(ISBLANK(B12)," ",VLOOKUP(B12,TOTAL!$B$6:$C$1094,2,0))</f>
        <v>SALCHICHA BEPA FRESCA.</v>
      </c>
      <c r="D12" s="1">
        <v>25</v>
      </c>
      <c r="E12" s="2">
        <v>41684</v>
      </c>
      <c r="G12" s="12"/>
    </row>
    <row r="13" spans="1:7" ht="26.25">
      <c r="A13" s="1">
        <v>8</v>
      </c>
      <c r="B13" s="1">
        <v>519</v>
      </c>
      <c r="C13" s="6" t="str">
        <f>IF(ISBLANK(B13)," ",VLOOKUP(B13,TOTAL!$B$6:$C$1094,2,0))</f>
        <v>CHORIZO LA RESOLANA COPETIN</v>
      </c>
      <c r="D13" s="1">
        <v>258</v>
      </c>
      <c r="E13" s="2">
        <f t="shared" ref="E13:E17" si="0">+E12+1</f>
        <v>41685</v>
      </c>
      <c r="G13" s="12"/>
    </row>
    <row r="14" spans="1:7" ht="26.25">
      <c r="A14" s="1">
        <v>9</v>
      </c>
      <c r="B14" s="1">
        <v>530</v>
      </c>
      <c r="C14" s="6" t="str">
        <f>IF(ISBLANK(B14)," ",VLOOKUP(B14,TOTAL!$B$6:$C$1094,2,0))</f>
        <v>TAPA DE ASADO CARNES PAMPEANAS A/V</v>
      </c>
      <c r="D14" s="1">
        <v>84</v>
      </c>
      <c r="E14" s="2">
        <f t="shared" si="0"/>
        <v>41686</v>
      </c>
      <c r="G14" s="12"/>
    </row>
    <row r="15" spans="1:7" ht="26.25">
      <c r="A15" s="1">
        <v>12</v>
      </c>
      <c r="B15" s="1">
        <v>696</v>
      </c>
      <c r="C15" s="6" t="str">
        <f>IF(ISBLANK(B15)," ",VLOOKUP(B15,TOTAL!$B$6:$C$1094,2,0))</f>
        <v>CHORIZO LA RESOLANA PARRILLERO</v>
      </c>
      <c r="D15" s="1">
        <v>25</v>
      </c>
      <c r="E15" s="2">
        <f t="shared" si="0"/>
        <v>41687</v>
      </c>
      <c r="G15" s="12"/>
    </row>
    <row r="16" spans="1:7" ht="26.25">
      <c r="A16" s="1">
        <v>3</v>
      </c>
      <c r="B16" s="1">
        <v>706</v>
      </c>
      <c r="C16" s="6" t="str">
        <f>IF(ISBLANK(B16)," ",VLOOKUP(B16,TOTAL!$B$6:$C$1094,2,0))</f>
        <v>MILANESAS DE POLLO LA RESOLANA</v>
      </c>
      <c r="D16" s="1">
        <v>645</v>
      </c>
      <c r="E16" s="2">
        <f t="shared" si="0"/>
        <v>41688</v>
      </c>
      <c r="G16" s="12"/>
    </row>
    <row r="17" spans="1:7" ht="26.25">
      <c r="A17" s="1">
        <v>12</v>
      </c>
      <c r="B17" s="1">
        <v>93</v>
      </c>
      <c r="C17" s="6" t="str">
        <f>IF(ISBLANK(B17)," ",VLOOKUP(B17,TOTAL!$B$6:$C$1094,2,0))</f>
        <v>CHORIZO LA RESOLANA PURO CERDO</v>
      </c>
      <c r="D17" s="1">
        <v>76</v>
      </c>
      <c r="E17" s="2">
        <f t="shared" si="0"/>
        <v>41689</v>
      </c>
      <c r="G17" s="12"/>
    </row>
    <row r="18" spans="1:7" ht="26.25">
      <c r="A18" s="1">
        <v>1</v>
      </c>
      <c r="B18" s="1">
        <v>696</v>
      </c>
      <c r="C18" s="6" t="str">
        <f>IF(ISBLANK(B18)," ",VLOOKUP(B18,TOTAL!$B$6:$C$1094,2,0))</f>
        <v>CHORIZO LA RESOLANA PARRILLERO</v>
      </c>
      <c r="D18" s="1">
        <v>55</v>
      </c>
      <c r="E18" s="2">
        <v>42302</v>
      </c>
      <c r="G18" s="12"/>
    </row>
    <row r="19" spans="1:7" ht="26.25">
      <c r="A19" s="1">
        <v>55</v>
      </c>
      <c r="B19" s="1">
        <v>664</v>
      </c>
      <c r="C19" s="6" t="str">
        <f>IF(ISBLANK(B19)," ",VLOOKUP(B19,TOTAL!$B$6:$C$1094,2,0))</f>
        <v>COSTILLITAS DE CERDO PALADINI</v>
      </c>
      <c r="D19" s="1">
        <v>66</v>
      </c>
      <c r="E19" s="2">
        <v>42242</v>
      </c>
      <c r="G19" s="12"/>
    </row>
    <row r="20" spans="1:7">
      <c r="C20" s="6" t="str">
        <f>IF(ISBLANK(B20)," ",VLOOKUP(B20,TOTAL!$B$6:$C$1094,2,0))</f>
        <v xml:space="preserve"> </v>
      </c>
    </row>
    <row r="21" spans="1:7">
      <c r="C21" s="6" t="str">
        <f>IF(ISBLANK(B21)," ",VLOOKUP(B21,TOTAL!$B$6:$C$1094,2,0))</f>
        <v xml:space="preserve"> </v>
      </c>
    </row>
    <row r="22" spans="1:7">
      <c r="C22" s="6" t="str">
        <f>IF(ISBLANK(B22)," ",VLOOKUP(B22,TOTAL!$B$6:$C$1094,2,0))</f>
        <v xml:space="preserve"> </v>
      </c>
    </row>
    <row r="23" spans="1:7">
      <c r="C23" s="6" t="str">
        <f>IF(ISBLANK(B23)," ",VLOOKUP(B23,TOTAL!$B$6:$C$1094,2,0))</f>
        <v xml:space="preserve"> </v>
      </c>
    </row>
    <row r="24" spans="1:7">
      <c r="C24" s="6" t="str">
        <f>IF(ISBLANK(B24)," ",VLOOKUP(B24,TOTAL!$B$6:$C$1094,2,0))</f>
        <v xml:space="preserve"> </v>
      </c>
    </row>
    <row r="25" spans="1:7">
      <c r="C25" s="6" t="str">
        <f>IF(ISBLANK(B25)," ",VLOOKUP(B25,TOTAL!$B$6:$C$1094,2,0))</f>
        <v xml:space="preserve"> </v>
      </c>
    </row>
    <row r="26" spans="1:7">
      <c r="C26" s="6" t="str">
        <f>IF(ISBLANK(B26)," ",VLOOKUP(B26,TOTAL!$B$6:$C$1094,2,0))</f>
        <v xml:space="preserve"> </v>
      </c>
    </row>
    <row r="27" spans="1:7">
      <c r="C27" s="6" t="str">
        <f>IF(ISBLANK(B27)," ",VLOOKUP(B27,TOTAL!$B$6:$C$1094,2,0))</f>
        <v xml:space="preserve"> </v>
      </c>
    </row>
    <row r="28" spans="1:7">
      <c r="C28" s="6" t="str">
        <f>IF(ISBLANK(B28)," ",VLOOKUP(B28,TOTAL!$B$6:$C$1094,2,0))</f>
        <v xml:space="preserve"> </v>
      </c>
    </row>
    <row r="29" spans="1:7">
      <c r="C29" s="6" t="str">
        <f>IF(ISBLANK(B29)," ",VLOOKUP(B29,TOTAL!$B$6:$C$1094,2,0))</f>
        <v xml:space="preserve"> </v>
      </c>
    </row>
    <row r="30" spans="1:7">
      <c r="C30" s="6" t="str">
        <f>IF(ISBLANK(B30)," ",VLOOKUP(B30,TOTAL!$B$6:$C$1094,2,0))</f>
        <v xml:space="preserve"> </v>
      </c>
    </row>
    <row r="31" spans="1:7">
      <c r="C31" s="6" t="str">
        <f>IF(ISBLANK(B31)," ",VLOOKUP(B31,TOTAL!$B$6:$C$1094,2,0))</f>
        <v xml:space="preserve"> </v>
      </c>
    </row>
    <row r="32" spans="1:7">
      <c r="C32" s="6" t="str">
        <f>IF(ISBLANK(B32)," ",VLOOKUP(B32,TOTAL!$B$6:$C$1094,2,0))</f>
        <v xml:space="preserve"> </v>
      </c>
    </row>
    <row r="33" spans="3:3">
      <c r="C33" s="6" t="str">
        <f>IF(ISBLANK(B33)," ",VLOOKUP(B33,TOTAL!$B$6:$C$1094,2,0))</f>
        <v xml:space="preserve"> 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8"/>
  <dimension ref="A1:G17"/>
  <sheetViews>
    <sheetView zoomScale="106" zoomScaleNormal="106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5" sqref="D5"/>
    </sheetView>
  </sheetViews>
  <sheetFormatPr baseColWidth="10" defaultRowHeight="15"/>
  <cols>
    <col min="1" max="1" width="7" style="1" bestFit="1" customWidth="1"/>
    <col min="2" max="2" width="11.42578125" style="1"/>
    <col min="3" max="3" width="46.140625" style="6" bestFit="1" customWidth="1"/>
    <col min="4" max="4" width="13.7109375" style="1" bestFit="1" customWidth="1"/>
    <col min="5" max="5" width="17.140625" style="1" bestFit="1" customWidth="1"/>
    <col min="6" max="6" width="12.140625" style="1" bestFit="1" customWidth="1"/>
    <col min="7" max="16384" width="11.42578125" style="1"/>
  </cols>
  <sheetData>
    <row r="1" spans="1:7" ht="30" customHeight="1">
      <c r="A1" s="13"/>
      <c r="B1" s="13"/>
      <c r="C1" s="14"/>
      <c r="D1" s="15" t="s">
        <v>1189</v>
      </c>
      <c r="E1" s="41">
        <f ca="1">'C1'!E1</f>
        <v>42535</v>
      </c>
      <c r="G1" s="1">
        <f>SUM(D6:D90)</f>
        <v>13614</v>
      </c>
    </row>
    <row r="2" spans="1:7">
      <c r="A2" s="13"/>
      <c r="B2" s="13"/>
      <c r="C2" s="9"/>
      <c r="D2" s="13"/>
      <c r="E2" s="13"/>
    </row>
    <row r="3" spans="1:7" ht="26.25">
      <c r="A3" s="13"/>
      <c r="B3" s="13"/>
      <c r="C3" s="11" t="b">
        <f>ISNUMBER(SEARCH($D$1,C6,1))</f>
        <v>0</v>
      </c>
      <c r="D3" s="13"/>
      <c r="E3" s="13"/>
      <c r="F3" s="42" t="b">
        <f ca="1">AND(MONTH(E6)=MONTH($E$1),YEAR(E6)=YEAR($E$1),DAY(E6)&gt;=DAY($E$1))</f>
        <v>0</v>
      </c>
      <c r="G3" s="43">
        <f ca="1">IF(E6&lt;$E$1,1,0)</f>
        <v>1</v>
      </c>
    </row>
    <row r="4" spans="1:7">
      <c r="A4" s="13"/>
      <c r="B4" s="13"/>
      <c r="C4" s="14"/>
      <c r="D4" s="13"/>
      <c r="E4" s="13"/>
    </row>
    <row r="5" spans="1:7" ht="26.25">
      <c r="A5" s="8" t="s">
        <v>8</v>
      </c>
      <c r="B5" s="8" t="s">
        <v>7</v>
      </c>
      <c r="C5" s="7" t="s">
        <v>1146</v>
      </c>
      <c r="D5" s="8" t="s">
        <v>1143</v>
      </c>
      <c r="E5" s="8" t="s">
        <v>1144</v>
      </c>
    </row>
    <row r="6" spans="1:7" ht="26.25">
      <c r="A6" s="1">
        <v>14</v>
      </c>
      <c r="B6" s="1">
        <v>1</v>
      </c>
      <c r="C6" s="6" t="str">
        <f>IF(ISBLANK(B6)," ",VLOOKUP(B6,TOTAL!$B$6:$C$1094,2,0))</f>
        <v>MOLLEJA SWIFT GARGANTA</v>
      </c>
      <c r="D6" s="1">
        <v>123</v>
      </c>
      <c r="E6" s="2">
        <v>42259</v>
      </c>
      <c r="G6" s="12"/>
    </row>
    <row r="7" spans="1:7">
      <c r="A7" s="1">
        <v>15</v>
      </c>
      <c r="B7" s="1">
        <v>2</v>
      </c>
      <c r="C7" s="6" t="str">
        <f>IF(ISBLANK(B7)," ",VLOOKUP(B7,TOTAL!$B$6:$C$1094,2,0))</f>
        <v>CHINCHULIN CIMMINO CONGELADO</v>
      </c>
      <c r="D7" s="1">
        <v>548</v>
      </c>
      <c r="E7" s="2">
        <v>42257</v>
      </c>
      <c r="G7" s="6"/>
    </row>
    <row r="8" spans="1:7">
      <c r="A8" s="1">
        <v>16</v>
      </c>
      <c r="B8" s="1">
        <v>3</v>
      </c>
      <c r="C8" s="6" t="str">
        <f>IF(ISBLANK(B8)," ",VLOOKUP(B8,TOTAL!$B$6:$C$1094,2,0))</f>
        <v>COMPESACION</v>
      </c>
      <c r="D8" s="1">
        <v>66</v>
      </c>
      <c r="E8" s="2">
        <v>42289</v>
      </c>
      <c r="G8" s="6"/>
    </row>
    <row r="9" spans="1:7">
      <c r="A9" s="1">
        <v>17</v>
      </c>
      <c r="B9" s="1">
        <v>4</v>
      </c>
      <c r="C9" s="6" t="str">
        <f>IF(ISBLANK(B9)," ",VLOOKUP(B9,TOTAL!$B$6:$C$1094,2,0))</f>
        <v>HIGADO SWIFT CONGELADO</v>
      </c>
      <c r="D9" s="1">
        <v>587</v>
      </c>
      <c r="E9" s="2">
        <v>42320</v>
      </c>
      <c r="G9" s="6"/>
    </row>
    <row r="10" spans="1:7">
      <c r="A10" s="1">
        <v>18</v>
      </c>
      <c r="B10" s="1">
        <v>5</v>
      </c>
      <c r="C10" s="6" t="str">
        <f>IF(ISBLANK(B10)," ",VLOOKUP(B10,TOTAL!$B$6:$C$1094,2,0))</f>
        <v>LENGUA CIMMINO CONGELADA</v>
      </c>
      <c r="D10" s="1">
        <v>246</v>
      </c>
      <c r="E10" s="2">
        <v>42305</v>
      </c>
    </row>
    <row r="11" spans="1:7">
      <c r="A11" s="1">
        <v>19</v>
      </c>
      <c r="B11" s="1">
        <v>6</v>
      </c>
      <c r="C11" s="6" t="str">
        <f>IF(ISBLANK(B11)," ",VLOOKUP(B11,TOTAL!$B$6:$C$1094,2,0))</f>
        <v>MOLLEJA CIMMINO CONGELADA</v>
      </c>
      <c r="D11" s="1">
        <v>326</v>
      </c>
      <c r="E11" s="2">
        <v>42197</v>
      </c>
    </row>
    <row r="12" spans="1:7">
      <c r="A12" s="1">
        <v>20</v>
      </c>
      <c r="B12" s="1">
        <v>7</v>
      </c>
      <c r="C12" s="6" t="str">
        <f>IF(ISBLANK(B12)," ",VLOOKUP(B12,TOTAL!$B$6:$C$1094,2,0))</f>
        <v>LENGUA RAFAELA</v>
      </c>
      <c r="D12" s="1">
        <v>5</v>
      </c>
      <c r="E12" s="2">
        <v>42197</v>
      </c>
    </row>
    <row r="13" spans="1:7">
      <c r="A13" s="1">
        <v>21</v>
      </c>
      <c r="B13" s="1">
        <v>8</v>
      </c>
      <c r="C13" s="6" t="str">
        <f>IF(ISBLANK(B13)," ",VLOOKUP(B13,TOTAL!$B$6:$C$1094,2,0))</f>
        <v>MONDONGO CIMMINO CUBETEADO CONGELADO</v>
      </c>
      <c r="D13" s="1">
        <v>98</v>
      </c>
      <c r="E13" s="2">
        <v>42972</v>
      </c>
    </row>
    <row r="14" spans="1:7">
      <c r="A14" s="1">
        <v>22</v>
      </c>
      <c r="B14" s="1">
        <v>291</v>
      </c>
      <c r="C14" s="6" t="str">
        <f>IF(ISBLANK(B14)," ",VLOOKUP(B14,TOTAL!$B$6:$C$1094,2,0))</f>
        <v>MEDIA RES NOVILLO LOGROS</v>
      </c>
      <c r="D14" s="1">
        <v>3547</v>
      </c>
      <c r="E14" s="2">
        <v>42490</v>
      </c>
    </row>
    <row r="15" spans="1:7">
      <c r="A15" s="1">
        <v>23</v>
      </c>
      <c r="B15" s="1">
        <v>319</v>
      </c>
      <c r="C15" s="6" t="str">
        <f>IF(ISBLANK(B15)," ",VLOOKUP(B15,TOTAL!$B$6:$C$1094,2,0))</f>
        <v>PECHO A 3 COSTILLAS LOGROS</v>
      </c>
      <c r="D15" s="1">
        <v>1520</v>
      </c>
      <c r="E15" s="2">
        <v>42790</v>
      </c>
    </row>
    <row r="16" spans="1:7">
      <c r="A16" s="1">
        <v>24</v>
      </c>
      <c r="B16" s="1">
        <v>664</v>
      </c>
      <c r="C16" s="6" t="str">
        <f>IF(ISBLANK(B16)," ",VLOOKUP(B16,TOTAL!$B$6:$C$1094,2,0))</f>
        <v>COSTILLITAS DE CERDO PALADINI</v>
      </c>
      <c r="D16" s="1">
        <v>548</v>
      </c>
      <c r="E16" s="2">
        <v>42291</v>
      </c>
    </row>
    <row r="17" spans="1:5">
      <c r="A17" s="1">
        <v>25</v>
      </c>
      <c r="B17" s="1">
        <v>711</v>
      </c>
      <c r="C17" s="6" t="str">
        <f>IF(ISBLANK(B17)," ",VLOOKUP(B17,TOTAL!$B$6:$C$1094,2,0))</f>
        <v>POLLO CRESTA ROJA</v>
      </c>
      <c r="D17" s="1">
        <v>6000</v>
      </c>
      <c r="E17" s="2">
        <v>42290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9"/>
  <dimension ref="A1:G17"/>
  <sheetViews>
    <sheetView zoomScale="106" zoomScaleNormal="106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5" sqref="D5"/>
    </sheetView>
  </sheetViews>
  <sheetFormatPr baseColWidth="10" defaultRowHeight="15"/>
  <cols>
    <col min="1" max="1" width="7" style="1" bestFit="1" customWidth="1"/>
    <col min="2" max="2" width="11.42578125" style="1"/>
    <col min="3" max="3" width="46.140625" style="6" bestFit="1" customWidth="1"/>
    <col min="4" max="4" width="13.7109375" style="1" bestFit="1" customWidth="1"/>
    <col min="5" max="5" width="17.140625" style="1" bestFit="1" customWidth="1"/>
    <col min="6" max="6" width="12.140625" style="1" bestFit="1" customWidth="1"/>
    <col min="7" max="16384" width="11.42578125" style="1"/>
  </cols>
  <sheetData>
    <row r="1" spans="1:7" ht="30" customHeight="1">
      <c r="A1" s="13"/>
      <c r="B1" s="13"/>
      <c r="C1" s="14"/>
      <c r="D1" s="15" t="s">
        <v>1152</v>
      </c>
      <c r="E1" s="41">
        <f ca="1">'C1'!E1</f>
        <v>42535</v>
      </c>
      <c r="F1" s="42"/>
      <c r="G1" s="42">
        <f>SUM(D6:D90)</f>
        <v>21764</v>
      </c>
    </row>
    <row r="2" spans="1:7">
      <c r="A2" s="13"/>
      <c r="B2" s="13"/>
      <c r="C2" s="9"/>
      <c r="D2" s="13"/>
      <c r="E2" s="13"/>
      <c r="F2" s="42"/>
      <c r="G2" s="42"/>
    </row>
    <row r="3" spans="1:7" ht="26.25">
      <c r="A3" s="13"/>
      <c r="B3" s="13"/>
      <c r="C3" s="11" t="b">
        <f>ISNUMBER(SEARCH($D$1,C6,1))</f>
        <v>0</v>
      </c>
      <c r="D3" s="13"/>
      <c r="E3" s="13"/>
      <c r="F3" s="42" t="b">
        <f ca="1">AND(MONTH(E6)=MONTH($E$1),YEAR(E6)=YEAR($E$1),DAY(E6)&gt;=DAY($E$1))</f>
        <v>0</v>
      </c>
      <c r="G3" s="43">
        <f ca="1">IF(E6&lt;$E$1,1,0)</f>
        <v>1</v>
      </c>
    </row>
    <row r="4" spans="1:7">
      <c r="A4" s="13"/>
      <c r="B4" s="13"/>
      <c r="C4" s="14"/>
      <c r="D4" s="13"/>
      <c r="E4" s="13"/>
    </row>
    <row r="5" spans="1:7" ht="26.25">
      <c r="A5" s="8" t="s">
        <v>8</v>
      </c>
      <c r="B5" s="8" t="s">
        <v>7</v>
      </c>
      <c r="C5" s="7" t="s">
        <v>1146</v>
      </c>
      <c r="D5" s="8" t="s">
        <v>1143</v>
      </c>
      <c r="E5" s="8" t="s">
        <v>1144</v>
      </c>
    </row>
    <row r="6" spans="1:7" ht="26.25">
      <c r="A6" s="1">
        <v>26</v>
      </c>
      <c r="B6" s="1">
        <v>270</v>
      </c>
      <c r="C6" s="6" t="str">
        <f>IF(ISBLANK(B6)," ",VLOOKUP(B6,TOTAL!$B$6:$C$1094,2,0))</f>
        <v>ROAST BEEF LOGROS A/V</v>
      </c>
      <c r="D6" s="1">
        <v>800</v>
      </c>
      <c r="E6" s="2">
        <v>42259</v>
      </c>
      <c r="G6" s="12"/>
    </row>
    <row r="7" spans="1:7">
      <c r="A7" s="1">
        <v>27</v>
      </c>
      <c r="B7" s="1">
        <v>222</v>
      </c>
      <c r="C7" s="6" t="str">
        <f>IF(ISBLANK(B7)," ",VLOOKUP(B7,TOTAL!$B$6:$C$1094,2,0))</f>
        <v>CUADRADA FETEADA CARNES PAMPEANAS A/V.</v>
      </c>
      <c r="D7" s="1">
        <v>1000</v>
      </c>
      <c r="E7" s="2">
        <v>42257</v>
      </c>
      <c r="G7" s="6"/>
    </row>
    <row r="8" spans="1:7">
      <c r="A8" s="1">
        <v>28</v>
      </c>
      <c r="B8" s="1">
        <v>236</v>
      </c>
      <c r="C8" s="6" t="str">
        <f>IF(ISBLANK(B8)," ",VLOOKUP(B8,TOTAL!$B$6:$C$1094,2,0))</f>
        <v>BIFE DE CHORIZO SWIFT A/V</v>
      </c>
      <c r="D8" s="1">
        <v>652</v>
      </c>
      <c r="E8" s="2">
        <v>42290</v>
      </c>
      <c r="G8" s="6"/>
    </row>
    <row r="9" spans="1:7">
      <c r="A9" s="1">
        <v>29</v>
      </c>
      <c r="B9" s="1">
        <v>366</v>
      </c>
      <c r="C9" s="6" t="str">
        <f>IF(ISBLANK(B9)," ",VLOOKUP(B9,TOTAL!$B$6:$C$1094,2,0))</f>
        <v>PECETO MAYORISTA.</v>
      </c>
      <c r="D9" s="1">
        <v>6666</v>
      </c>
      <c r="E9" s="2">
        <v>42320</v>
      </c>
      <c r="G9" s="6"/>
    </row>
    <row r="10" spans="1:7">
      <c r="A10" s="1">
        <v>30</v>
      </c>
      <c r="B10" s="1">
        <v>115</v>
      </c>
      <c r="C10" s="6" t="str">
        <f>IF(ISBLANK(B10)," ",VLOOKUP(B10,TOTAL!$B$6:$C$1094,2,0))</f>
        <v>POLLO GRANJERO</v>
      </c>
      <c r="D10" s="1">
        <v>9986</v>
      </c>
      <c r="E10" s="2">
        <v>42350</v>
      </c>
    </row>
    <row r="11" spans="1:7">
      <c r="A11" s="1">
        <v>31</v>
      </c>
      <c r="B11" s="1">
        <v>109</v>
      </c>
      <c r="C11" s="6" t="str">
        <f>IF(ISBLANK(B11)," ",VLOOKUP(B11,TOTAL!$B$6:$C$1094,2,0))</f>
        <v>POLLO* &amp;TRES ARROYOS x 20 KG</v>
      </c>
      <c r="D11" s="1">
        <v>455</v>
      </c>
      <c r="E11" s="2">
        <v>42197</v>
      </c>
    </row>
    <row r="12" spans="1:7">
      <c r="A12" s="1">
        <v>32</v>
      </c>
      <c r="B12" s="1">
        <v>114</v>
      </c>
      <c r="C12" s="6" t="str">
        <f>IF(ISBLANK(B12)," ",VLOOKUP(B12,TOTAL!$B$6:$C$1094,2,0))</f>
        <v>HAMBURGUESAS DE POLLO</v>
      </c>
      <c r="D12" s="1">
        <v>325</v>
      </c>
      <c r="E12" s="2">
        <v>42197</v>
      </c>
    </row>
    <row r="13" spans="1:7">
      <c r="A13" s="1">
        <v>33</v>
      </c>
      <c r="B13" s="1">
        <v>706</v>
      </c>
      <c r="C13" s="6" t="str">
        <f>IF(ISBLANK(B13)," ",VLOOKUP(B13,TOTAL!$B$6:$C$1094,2,0))</f>
        <v>MILANESAS DE POLLO LA RESOLANA</v>
      </c>
      <c r="D13" s="1">
        <v>114</v>
      </c>
      <c r="E13" s="2">
        <v>42292</v>
      </c>
    </row>
    <row r="14" spans="1:7">
      <c r="A14" s="1">
        <v>34</v>
      </c>
      <c r="B14" s="1">
        <v>558</v>
      </c>
      <c r="C14" s="6" t="str">
        <f>IF(ISBLANK(B14)," ",VLOOKUP(B14,TOTAL!$B$6:$C$1094,2,0))</f>
        <v>TAPA DE NALGA LOGROS A/V</v>
      </c>
      <c r="D14" s="1">
        <v>669</v>
      </c>
      <c r="E14" s="2">
        <v>42490</v>
      </c>
    </row>
    <row r="15" spans="1:7">
      <c r="A15" s="1">
        <v>35</v>
      </c>
      <c r="B15" s="1">
        <v>665</v>
      </c>
      <c r="C15" s="6" t="str">
        <f>IF(ISBLANK(B15)," ",VLOOKUP(B15,TOTAL!$B$6:$C$1094,2,0))</f>
        <v>CAZUELA REGENTE DE PESCADOS Y MARISCOS X 2 KG</v>
      </c>
      <c r="D15" s="1">
        <v>751</v>
      </c>
      <c r="E15" s="2">
        <v>42790</v>
      </c>
    </row>
    <row r="16" spans="1:7">
      <c r="A16" s="1">
        <v>36</v>
      </c>
      <c r="B16" s="1">
        <v>664</v>
      </c>
      <c r="C16" s="6" t="str">
        <f>IF(ISBLANK(B16)," ",VLOOKUP(B16,TOTAL!$B$6:$C$1094,2,0))</f>
        <v>COSTILLITAS DE CERDO PALADINI</v>
      </c>
      <c r="D16" s="1">
        <v>11</v>
      </c>
      <c r="E16" s="2">
        <v>42287</v>
      </c>
    </row>
    <row r="17" spans="1:5">
      <c r="A17" s="1">
        <v>37</v>
      </c>
      <c r="B17" s="1">
        <v>699</v>
      </c>
      <c r="C17" s="6" t="str">
        <f>IF(ISBLANK(B17)," ",VLOOKUP(B17,TOTAL!$B$6:$C$1094,2,0))</f>
        <v>PATITAS DE CERDO EL PICHON</v>
      </c>
      <c r="D17" s="1">
        <v>335</v>
      </c>
      <c r="E17" s="2">
        <v>42100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"/>
  <dimension ref="D1:Q45"/>
  <sheetViews>
    <sheetView showGridLines="0" topLeftCell="D19" zoomScaleNormal="100" workbookViewId="0">
      <selection activeCell="F34" sqref="F34"/>
    </sheetView>
  </sheetViews>
  <sheetFormatPr baseColWidth="10" defaultRowHeight="15"/>
  <sheetData>
    <row r="1" spans="4:17"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</row>
    <row r="2" spans="4:17"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</row>
    <row r="3" spans="4:17"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</row>
    <row r="4" spans="4:17"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</row>
    <row r="5" spans="4:17"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</row>
    <row r="6" spans="4:17"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</row>
    <row r="7" spans="4:17"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</row>
    <row r="8" spans="4:17"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</row>
    <row r="9" spans="4:17"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</row>
    <row r="10" spans="4:17"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</row>
    <row r="11" spans="4:17"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</row>
    <row r="12" spans="4:17"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</row>
    <row r="13" spans="4:17"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</row>
    <row r="14" spans="4:17"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</row>
    <row r="15" spans="4:17"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</row>
    <row r="16" spans="4:17"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</row>
    <row r="17" spans="4:17"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</row>
    <row r="18" spans="4:17"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</row>
    <row r="19" spans="4:17"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</row>
    <row r="20" spans="4:17"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</row>
    <row r="21" spans="4:17"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</row>
    <row r="22" spans="4:17"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</row>
    <row r="23" spans="4:17"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</row>
    <row r="24" spans="4:17"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</row>
    <row r="25" spans="4:17"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</row>
    <row r="26" spans="4:17"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</row>
    <row r="27" spans="4:17"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31"/>
    </row>
    <row r="28" spans="4:17"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</row>
    <row r="29" spans="4:17"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31"/>
    </row>
    <row r="30" spans="4:17"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</row>
    <row r="31" spans="4:17"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</row>
    <row r="32" spans="4:17"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</row>
    <row r="33" spans="4:17"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</row>
    <row r="34" spans="4:17"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</row>
    <row r="35" spans="4:17"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</row>
    <row r="36" spans="4:17"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</row>
    <row r="37" spans="4:17"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</row>
    <row r="38" spans="4:17"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</row>
    <row r="39" spans="4:17"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</row>
    <row r="40" spans="4:17"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</row>
    <row r="41" spans="4:17"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</row>
    <row r="42" spans="4:17"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</row>
    <row r="43" spans="4:17"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</row>
    <row r="44" spans="4:17"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</row>
    <row r="45" spans="4:17"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</row>
  </sheetData>
  <pageMargins left="0.70866141732283472" right="0.32" top="0.54" bottom="0.74803149606299213" header="0.31496062992125984" footer="0.31496062992125984"/>
  <pageSetup paperSize="9" orientation="landscape" horizontalDpi="0" verticalDpi="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4"/>
  <dimension ref="A1:Q25"/>
  <sheetViews>
    <sheetView showGridLines="0" zoomScaleNormal="100" workbookViewId="0">
      <selection activeCell="D2" sqref="D2"/>
    </sheetView>
  </sheetViews>
  <sheetFormatPr baseColWidth="10" defaultRowHeight="15"/>
  <cols>
    <col min="15" max="15" width="11.42578125" customWidth="1"/>
    <col min="16" max="16" width="2.140625" customWidth="1"/>
  </cols>
  <sheetData>
    <row r="1" spans="1:17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</row>
    <row r="2" spans="1:17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</row>
    <row r="3" spans="1:17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</row>
    <row r="4" spans="1:17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</row>
    <row r="5" spans="1:17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</row>
    <row r="6" spans="1:17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</row>
    <row r="7" spans="1:17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</row>
    <row r="8" spans="1:17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</row>
    <row r="9" spans="1:17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</row>
    <row r="10" spans="1:17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</row>
    <row r="11" spans="1:17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</row>
    <row r="12" spans="1:17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</row>
    <row r="13" spans="1:17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</row>
    <row r="14" spans="1:17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</row>
    <row r="15" spans="1:17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</row>
    <row r="16" spans="1:17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</row>
    <row r="17" spans="1:17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</row>
    <row r="18" spans="1:17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</row>
    <row r="19" spans="1:17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</row>
    <row r="20" spans="1:17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</row>
    <row r="21" spans="1:17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</row>
    <row r="22" spans="1:17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</row>
    <row r="23" spans="1:17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</row>
    <row r="24" spans="1:17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</row>
    <row r="25" spans="1:17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5">
    <pageSetUpPr fitToPage="1"/>
  </sheetPr>
  <dimension ref="A1:L59"/>
  <sheetViews>
    <sheetView showGridLines="0" zoomScale="98" zoomScaleNormal="98" workbookViewId="0">
      <selection activeCell="A2" sqref="A2"/>
    </sheetView>
  </sheetViews>
  <sheetFormatPr baseColWidth="10" defaultRowHeight="15"/>
  <cols>
    <col min="1" max="1" width="11.42578125" style="3"/>
  </cols>
  <sheetData>
    <row r="1" spans="1:12" s="3" customFormat="1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12" s="3" customFormat="1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</row>
    <row r="3" spans="1:12" s="3" customFormat="1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</row>
    <row r="4" spans="1:12" s="3" customFormat="1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</row>
    <row r="5" spans="1:1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2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</row>
    <row r="7" spans="1:12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</row>
    <row r="8" spans="1:12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</row>
    <row r="9" spans="1:12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</row>
    <row r="10" spans="1:12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</row>
    <row r="11" spans="1:12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</row>
    <row r="12" spans="1:12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</row>
    <row r="13" spans="1:12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</row>
    <row r="14" spans="1:12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</row>
    <row r="15" spans="1:12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</row>
    <row r="16" spans="1:12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</row>
    <row r="17" spans="1:12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</row>
    <row r="18" spans="1:12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</row>
    <row r="19" spans="1:12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1:1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</row>
    <row r="21" spans="1:12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</row>
    <row r="22" spans="1:1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1:12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</row>
    <row r="24" spans="1:12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</row>
    <row r="25" spans="1:12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</row>
    <row r="26" spans="1:12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</row>
    <row r="27" spans="1:12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</row>
    <row r="28" spans="1:12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</row>
    <row r="29" spans="1:12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</row>
    <row r="30" spans="1:12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</row>
    <row r="31" spans="1:12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</row>
    <row r="32" spans="1:12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</row>
    <row r="33" spans="1:1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</row>
    <row r="34" spans="1:12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</row>
    <row r="35" spans="1:12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</row>
    <row r="36" spans="1:12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</row>
    <row r="37" spans="1:12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</row>
    <row r="38" spans="1:12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</row>
    <row r="39" spans="1:12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</row>
    <row r="40" spans="1:12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</row>
    <row r="41" spans="1:12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</row>
    <row r="42" spans="1:12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</row>
    <row r="43" spans="1:12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</row>
    <row r="44" spans="1:12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</row>
    <row r="45" spans="1:12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</row>
    <row r="46" spans="1:12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</row>
    <row r="47" spans="1:1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</row>
    <row r="48" spans="1:1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</row>
    <row r="49" spans="1:1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</row>
    <row r="50" spans="1:12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</row>
    <row r="51" spans="1:12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</row>
    <row r="52" spans="1:12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</row>
    <row r="53" spans="1:12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</row>
    <row r="54" spans="1:12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</row>
    <row r="55" spans="1:12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</row>
    <row r="56" spans="1:12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</row>
    <row r="57" spans="1:12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</row>
    <row r="58" spans="1:12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</row>
    <row r="59" spans="1:12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</row>
  </sheetData>
  <pageMargins left="0.24" right="0.24" top="0.74803149606299213" bottom="0.74803149606299213" header="0.31496062992125984" footer="0.31496062992125984"/>
  <pageSetup paperSize="9" scale="79" orientation="portrait" horizontalDpi="0" verticalDpi="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10"/>
  <dimension ref="A1:W49"/>
  <sheetViews>
    <sheetView showGridLines="0" topLeftCell="A2" zoomScale="50" zoomScaleNormal="50" workbookViewId="0">
      <selection activeCell="AC32" sqref="AC32"/>
    </sheetView>
  </sheetViews>
  <sheetFormatPr baseColWidth="10" defaultColWidth="3.7109375" defaultRowHeight="15"/>
  <cols>
    <col min="1" max="16384" width="3.7109375" style="3"/>
  </cols>
  <sheetData>
    <row r="1" spans="1:23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</row>
    <row r="2" spans="1:23" ht="15.75" thickBot="1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</row>
    <row r="3" spans="1:23" ht="15.75" thickBot="1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50" t="s">
        <v>1154</v>
      </c>
      <c r="Q3" s="51"/>
      <c r="R3" s="51"/>
      <c r="S3" s="51"/>
      <c r="T3" s="51"/>
      <c r="U3" s="51"/>
      <c r="V3" s="52"/>
      <c r="W3" s="28"/>
    </row>
    <row r="4" spans="1:23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68" t="s">
        <v>1155</v>
      </c>
    </row>
    <row r="5" spans="1:23" ht="15.75" thickBot="1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70"/>
    </row>
    <row r="6" spans="1:23" ht="15.75" thickBot="1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50" t="s">
        <v>1156</v>
      </c>
      <c r="S6" s="52"/>
      <c r="T6" s="28"/>
      <c r="U6" s="28"/>
      <c r="V6" s="28"/>
      <c r="W6" s="70"/>
    </row>
    <row r="7" spans="1:23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68" t="s">
        <v>1157</v>
      </c>
      <c r="N7" s="68" t="s">
        <v>1158</v>
      </c>
      <c r="O7" s="28"/>
      <c r="P7" s="28"/>
      <c r="Q7" s="28"/>
      <c r="R7" s="68" t="s">
        <v>1159</v>
      </c>
      <c r="S7" s="68" t="s">
        <v>1160</v>
      </c>
      <c r="T7" s="28"/>
      <c r="U7" s="28"/>
      <c r="V7" s="28"/>
      <c r="W7" s="70"/>
    </row>
    <row r="8" spans="1:23" ht="15.75" thickBot="1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69"/>
      <c r="N8" s="69"/>
      <c r="O8" s="28"/>
      <c r="P8" s="28"/>
      <c r="Q8" s="28"/>
      <c r="R8" s="69"/>
      <c r="S8" s="69"/>
      <c r="T8" s="28"/>
      <c r="U8" s="28"/>
      <c r="V8" s="28"/>
      <c r="W8" s="70"/>
    </row>
    <row r="9" spans="1:23" ht="15.75" thickBot="1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68" t="s">
        <v>1161</v>
      </c>
      <c r="N9" s="68" t="s">
        <v>1162</v>
      </c>
      <c r="O9" s="28"/>
      <c r="P9" s="28"/>
      <c r="Q9" s="28"/>
      <c r="R9" s="68" t="s">
        <v>1163</v>
      </c>
      <c r="S9" s="68" t="s">
        <v>1164</v>
      </c>
      <c r="T9" s="28"/>
      <c r="U9" s="28"/>
      <c r="V9" s="28"/>
      <c r="W9" s="69"/>
    </row>
    <row r="10" spans="1:23" ht="15.75" thickBot="1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69"/>
      <c r="N10" s="69"/>
      <c r="O10" s="28"/>
      <c r="P10" s="28"/>
      <c r="Q10" s="28"/>
      <c r="R10" s="69"/>
      <c r="S10" s="69"/>
      <c r="T10" s="28"/>
      <c r="U10" s="28"/>
      <c r="V10" s="28"/>
      <c r="W10" s="68" t="s">
        <v>1165</v>
      </c>
    </row>
    <row r="11" spans="1:23" ht="15.75" thickBot="1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50" t="s">
        <v>1166</v>
      </c>
      <c r="N11" s="52"/>
      <c r="O11" s="28"/>
      <c r="P11" s="28"/>
      <c r="Q11" s="28"/>
      <c r="R11" s="50" t="s">
        <v>1167</v>
      </c>
      <c r="S11" s="52"/>
      <c r="T11" s="28"/>
      <c r="U11" s="28"/>
      <c r="V11" s="28"/>
      <c r="W11" s="70"/>
    </row>
    <row r="12" spans="1:23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70"/>
    </row>
    <row r="13" spans="1:23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70"/>
    </row>
    <row r="14" spans="1:23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70"/>
    </row>
    <row r="15" spans="1:23" ht="15.75" thickBot="1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69"/>
    </row>
    <row r="16" spans="1:23" ht="15.75" thickBot="1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50" t="s">
        <v>1168</v>
      </c>
      <c r="U16" s="51"/>
      <c r="V16" s="52"/>
      <c r="W16" s="28"/>
    </row>
    <row r="17" spans="1:23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68" t="s">
        <v>1169</v>
      </c>
      <c r="T17" s="28"/>
      <c r="U17" s="28"/>
      <c r="V17" s="28"/>
      <c r="W17" s="28"/>
    </row>
    <row r="18" spans="1:23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70"/>
      <c r="T18" s="28"/>
      <c r="U18" s="28"/>
      <c r="V18" s="28"/>
      <c r="W18" s="28"/>
    </row>
    <row r="19" spans="1:23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70"/>
      <c r="T19" s="28"/>
      <c r="U19" s="28"/>
      <c r="V19" s="28"/>
      <c r="W19" s="28"/>
    </row>
    <row r="20" spans="1:23" ht="15.75" thickBot="1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70"/>
      <c r="T20" s="28"/>
      <c r="U20" s="28"/>
      <c r="V20" s="28"/>
      <c r="W20" s="28"/>
    </row>
    <row r="21" spans="1:23" ht="15.75" thickBot="1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68" t="s">
        <v>1170</v>
      </c>
      <c r="M21" s="50" t="s">
        <v>1171</v>
      </c>
      <c r="N21" s="52"/>
      <c r="O21" s="68" t="s">
        <v>1172</v>
      </c>
      <c r="P21" s="28"/>
      <c r="Q21" s="28"/>
      <c r="R21" s="28"/>
      <c r="S21" s="70"/>
      <c r="T21" s="28"/>
      <c r="U21" s="28"/>
      <c r="V21" s="28"/>
      <c r="W21" s="28"/>
    </row>
    <row r="22" spans="1:23" ht="15.75" thickBot="1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69"/>
      <c r="M22" s="50" t="s">
        <v>1173</v>
      </c>
      <c r="N22" s="52"/>
      <c r="O22" s="69"/>
      <c r="P22" s="28"/>
      <c r="Q22" s="28"/>
      <c r="R22" s="28"/>
      <c r="S22" s="70"/>
      <c r="T22" s="28"/>
      <c r="U22" s="28"/>
      <c r="V22" s="28"/>
      <c r="W22" s="28"/>
    </row>
    <row r="23" spans="1:23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70"/>
      <c r="T23" s="28"/>
      <c r="U23" s="28"/>
      <c r="V23" s="28"/>
      <c r="W23" s="28"/>
    </row>
    <row r="24" spans="1:23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70"/>
      <c r="T24" s="28"/>
      <c r="U24" s="28"/>
      <c r="V24" s="28"/>
      <c r="W24" s="28"/>
    </row>
    <row r="25" spans="1:23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70"/>
      <c r="T25" s="28"/>
      <c r="U25" s="28"/>
      <c r="V25" s="28"/>
      <c r="W25" s="28"/>
    </row>
    <row r="26" spans="1:23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70"/>
      <c r="T26" s="28"/>
      <c r="U26" s="28"/>
      <c r="V26" s="28"/>
      <c r="W26" s="28"/>
    </row>
    <row r="27" spans="1:23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70"/>
      <c r="T27" s="28"/>
      <c r="U27" s="28"/>
      <c r="V27" s="28"/>
      <c r="W27" s="28"/>
    </row>
    <row r="28" spans="1:23" ht="15.75" thickBot="1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69"/>
      <c r="T28" s="28"/>
      <c r="U28" s="28"/>
      <c r="V28" s="28"/>
      <c r="W28" s="28"/>
    </row>
    <row r="29" spans="1:23" ht="15.75" thickBot="1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</row>
    <row r="30" spans="1:23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59" t="s">
        <v>1174</v>
      </c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1"/>
    </row>
    <row r="31" spans="1:23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62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4"/>
    </row>
    <row r="32" spans="1:23" ht="15.75" thickBot="1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62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4"/>
    </row>
    <row r="33" spans="1:23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53" t="s">
        <v>1175</v>
      </c>
      <c r="L33" s="57"/>
      <c r="M33" s="59" t="s">
        <v>1176</v>
      </c>
      <c r="N33" s="60"/>
      <c r="O33" s="60"/>
      <c r="P33" s="60"/>
      <c r="Q33" s="60"/>
      <c r="R33" s="60"/>
      <c r="S33" s="60"/>
      <c r="T33" s="60"/>
      <c r="U33" s="61"/>
      <c r="V33" s="53" t="s">
        <v>1177</v>
      </c>
      <c r="W33" s="57"/>
    </row>
    <row r="34" spans="1:23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53"/>
      <c r="L34" s="57"/>
      <c r="M34" s="62"/>
      <c r="N34" s="63"/>
      <c r="O34" s="63"/>
      <c r="P34" s="63"/>
      <c r="Q34" s="63"/>
      <c r="R34" s="63"/>
      <c r="S34" s="63"/>
      <c r="T34" s="63"/>
      <c r="U34" s="64"/>
      <c r="V34" s="53"/>
      <c r="W34" s="57"/>
    </row>
    <row r="35" spans="1:23" ht="15.75" thickBot="1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53"/>
      <c r="L35" s="57"/>
      <c r="M35" s="65"/>
      <c r="N35" s="66"/>
      <c r="O35" s="66"/>
      <c r="P35" s="66"/>
      <c r="Q35" s="66"/>
      <c r="R35" s="66"/>
      <c r="S35" s="66"/>
      <c r="T35" s="66"/>
      <c r="U35" s="67"/>
      <c r="V35" s="53"/>
      <c r="W35" s="57"/>
    </row>
    <row r="36" spans="1:23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53"/>
      <c r="L36" s="57"/>
      <c r="M36" s="59" t="s">
        <v>1178</v>
      </c>
      <c r="N36" s="60"/>
      <c r="O36" s="60"/>
      <c r="P36" s="60"/>
      <c r="Q36" s="60"/>
      <c r="R36" s="60"/>
      <c r="S36" s="60"/>
      <c r="T36" s="60"/>
      <c r="U36" s="61"/>
      <c r="V36" s="53"/>
      <c r="W36" s="57"/>
    </row>
    <row r="37" spans="1:23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53"/>
      <c r="L37" s="57"/>
      <c r="M37" s="62"/>
      <c r="N37" s="63"/>
      <c r="O37" s="63"/>
      <c r="P37" s="63"/>
      <c r="Q37" s="63"/>
      <c r="R37" s="63"/>
      <c r="S37" s="63"/>
      <c r="T37" s="63"/>
      <c r="U37" s="64"/>
      <c r="V37" s="53"/>
      <c r="W37" s="57"/>
    </row>
    <row r="38" spans="1:23" ht="15.75" thickBot="1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53"/>
      <c r="L38" s="57"/>
      <c r="M38" s="65"/>
      <c r="N38" s="66"/>
      <c r="O38" s="66"/>
      <c r="P38" s="66"/>
      <c r="Q38" s="66"/>
      <c r="R38" s="66"/>
      <c r="S38" s="66"/>
      <c r="T38" s="66"/>
      <c r="U38" s="67"/>
      <c r="V38" s="53"/>
      <c r="W38" s="57"/>
    </row>
    <row r="39" spans="1:23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53"/>
      <c r="L39" s="57"/>
      <c r="M39" s="59" t="s">
        <v>1179</v>
      </c>
      <c r="N39" s="60"/>
      <c r="O39" s="60"/>
      <c r="P39" s="60"/>
      <c r="Q39" s="60"/>
      <c r="R39" s="60"/>
      <c r="S39" s="60"/>
      <c r="T39" s="60"/>
      <c r="U39" s="61"/>
      <c r="V39" s="53"/>
      <c r="W39" s="57"/>
    </row>
    <row r="40" spans="1:23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53"/>
      <c r="L40" s="57"/>
      <c r="M40" s="62"/>
      <c r="N40" s="63"/>
      <c r="O40" s="63"/>
      <c r="P40" s="63"/>
      <c r="Q40" s="63"/>
      <c r="R40" s="63"/>
      <c r="S40" s="63"/>
      <c r="T40" s="63"/>
      <c r="U40" s="64"/>
      <c r="V40" s="53"/>
      <c r="W40" s="57"/>
    </row>
    <row r="41" spans="1:23" ht="15.75" thickBot="1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53"/>
      <c r="L41" s="57"/>
      <c r="M41" s="65"/>
      <c r="N41" s="66"/>
      <c r="O41" s="66"/>
      <c r="P41" s="66"/>
      <c r="Q41" s="66"/>
      <c r="R41" s="66"/>
      <c r="S41" s="66"/>
      <c r="T41" s="66"/>
      <c r="U41" s="67"/>
      <c r="V41" s="53"/>
      <c r="W41" s="57"/>
    </row>
    <row r="42" spans="1:23" ht="15.75" thickBot="1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53" t="s">
        <v>1180</v>
      </c>
      <c r="L42" s="54"/>
      <c r="M42" s="29"/>
      <c r="N42" s="30"/>
      <c r="O42" s="30"/>
      <c r="P42" s="30"/>
      <c r="Q42" s="30"/>
      <c r="R42" s="29"/>
      <c r="S42" s="54" t="s">
        <v>1181</v>
      </c>
      <c r="T42" s="54"/>
      <c r="U42" s="54"/>
      <c r="V42" s="54"/>
      <c r="W42" s="57"/>
    </row>
    <row r="43" spans="1:23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53"/>
      <c r="L43" s="54"/>
      <c r="M43" s="59" t="s">
        <v>1182</v>
      </c>
      <c r="N43" s="60"/>
      <c r="O43" s="60"/>
      <c r="P43" s="60"/>
      <c r="Q43" s="60"/>
      <c r="R43" s="61"/>
      <c r="S43" s="54"/>
      <c r="T43" s="54"/>
      <c r="U43" s="54"/>
      <c r="V43" s="54"/>
      <c r="W43" s="57"/>
    </row>
    <row r="44" spans="1:23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53"/>
      <c r="L44" s="54"/>
      <c r="M44" s="62"/>
      <c r="N44" s="63"/>
      <c r="O44" s="63"/>
      <c r="P44" s="63"/>
      <c r="Q44" s="63"/>
      <c r="R44" s="64"/>
      <c r="S44" s="54"/>
      <c r="T44" s="54"/>
      <c r="U44" s="54"/>
      <c r="V44" s="54"/>
      <c r="W44" s="57"/>
    </row>
    <row r="45" spans="1:23" ht="15.75" thickBot="1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53"/>
      <c r="L45" s="54"/>
      <c r="M45" s="65"/>
      <c r="N45" s="66"/>
      <c r="O45" s="66"/>
      <c r="P45" s="66"/>
      <c r="Q45" s="66"/>
      <c r="R45" s="67"/>
      <c r="S45" s="54"/>
      <c r="T45" s="54"/>
      <c r="U45" s="54"/>
      <c r="V45" s="54"/>
      <c r="W45" s="57"/>
    </row>
    <row r="46" spans="1:23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53"/>
      <c r="L46" s="54"/>
      <c r="M46" s="59" t="s">
        <v>1183</v>
      </c>
      <c r="N46" s="60"/>
      <c r="O46" s="60"/>
      <c r="P46" s="60"/>
      <c r="Q46" s="60"/>
      <c r="R46" s="61"/>
      <c r="S46" s="54"/>
      <c r="T46" s="54"/>
      <c r="U46" s="54"/>
      <c r="V46" s="54"/>
      <c r="W46" s="57"/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53"/>
      <c r="L47" s="54"/>
      <c r="M47" s="62"/>
      <c r="N47" s="63"/>
      <c r="O47" s="63"/>
      <c r="P47" s="63"/>
      <c r="Q47" s="63"/>
      <c r="R47" s="64"/>
      <c r="S47" s="54"/>
      <c r="T47" s="54"/>
      <c r="U47" s="54"/>
      <c r="V47" s="54"/>
      <c r="W47" s="57"/>
    </row>
    <row r="48" spans="1:23" ht="15.75" thickBot="1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55"/>
      <c r="L48" s="56"/>
      <c r="M48" s="65"/>
      <c r="N48" s="66"/>
      <c r="O48" s="66"/>
      <c r="P48" s="66"/>
      <c r="Q48" s="66"/>
      <c r="R48" s="67"/>
      <c r="S48" s="56"/>
      <c r="T48" s="56"/>
      <c r="U48" s="56"/>
      <c r="V48" s="56"/>
      <c r="W48" s="58"/>
    </row>
    <row r="49" spans="1:23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</row>
  </sheetData>
  <mergeCells count="30">
    <mergeCell ref="P3:V3"/>
    <mergeCell ref="W4:W9"/>
    <mergeCell ref="R6:S6"/>
    <mergeCell ref="M7:M8"/>
    <mergeCell ref="N7:N8"/>
    <mergeCell ref="R7:R8"/>
    <mergeCell ref="S7:S8"/>
    <mergeCell ref="M9:M10"/>
    <mergeCell ref="N9:N10"/>
    <mergeCell ref="R9:R10"/>
    <mergeCell ref="S9:S10"/>
    <mergeCell ref="W10:W15"/>
    <mergeCell ref="M11:N11"/>
    <mergeCell ref="R11:S11"/>
    <mergeCell ref="T16:V16"/>
    <mergeCell ref="K42:L48"/>
    <mergeCell ref="S42:W48"/>
    <mergeCell ref="M43:R45"/>
    <mergeCell ref="M46:R48"/>
    <mergeCell ref="L21:L22"/>
    <mergeCell ref="M21:N21"/>
    <mergeCell ref="O21:O22"/>
    <mergeCell ref="M22:N22"/>
    <mergeCell ref="K30:W32"/>
    <mergeCell ref="K33:L41"/>
    <mergeCell ref="M33:U35"/>
    <mergeCell ref="V33:W41"/>
    <mergeCell ref="M36:U38"/>
    <mergeCell ref="M39:U41"/>
    <mergeCell ref="S17:S28"/>
  </mergeCells>
  <pageMargins left="0.7" right="0.7" top="0.75" bottom="0.75" header="0.3" footer="0.3"/>
  <pageSetup paperSize="9" orientation="portrait" horizontalDpi="0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7"/>
  <dimension ref="A1:R40"/>
  <sheetViews>
    <sheetView workbookViewId="0">
      <selection activeCell="A4" sqref="A4"/>
    </sheetView>
  </sheetViews>
  <sheetFormatPr baseColWidth="10" defaultRowHeight="15"/>
  <cols>
    <col min="2" max="2" width="18.5703125" bestFit="1" customWidth="1"/>
    <col min="3" max="3" width="14.42578125" bestFit="1" customWidth="1"/>
    <col min="4" max="4" width="10.42578125" bestFit="1" customWidth="1"/>
    <col min="5" max="5" width="16.42578125" bestFit="1" customWidth="1"/>
    <col min="6" max="6" width="10.140625" bestFit="1" customWidth="1"/>
    <col min="12" max="12" width="18.5703125" customWidth="1"/>
    <col min="13" max="13" width="20.85546875" bestFit="1" customWidth="1"/>
    <col min="14" max="14" width="2.42578125" customWidth="1"/>
    <col min="15" max="15" width="6.28515625" customWidth="1"/>
    <col min="16" max="16" width="12.5703125" bestFit="1" customWidth="1"/>
  </cols>
  <sheetData>
    <row r="1" spans="1:18">
      <c r="A1" s="26"/>
      <c r="B1" s="26"/>
      <c r="C1" s="26"/>
      <c r="D1" s="72">
        <v>5</v>
      </c>
      <c r="E1" s="26"/>
      <c r="F1" s="26"/>
      <c r="G1" s="26"/>
    </row>
    <row r="2" spans="1:18" ht="28.5">
      <c r="A2" s="26"/>
      <c r="B2" s="26"/>
      <c r="C2" s="26"/>
      <c r="D2" s="72"/>
      <c r="E2" s="26"/>
      <c r="F2" s="26"/>
      <c r="G2" s="26"/>
      <c r="L2" s="32" t="s">
        <v>3</v>
      </c>
      <c r="M2" s="32" t="s">
        <v>3</v>
      </c>
    </row>
    <row r="3" spans="1:18" ht="4.5" customHeight="1">
      <c r="A3" s="26"/>
      <c r="B3" s="44" t="b">
        <f>ISNUMBER(MATCH($D$1,B6,0))</f>
        <v>0</v>
      </c>
      <c r="C3" s="45"/>
      <c r="D3" s="26"/>
      <c r="E3" s="26"/>
      <c r="F3" s="26"/>
      <c r="G3" s="26"/>
      <c r="L3" s="1">
        <v>1</v>
      </c>
      <c r="M3">
        <v>5</v>
      </c>
    </row>
    <row r="4" spans="1:18" ht="26.25">
      <c r="A4" s="26"/>
      <c r="B4" s="71" t="s">
        <v>1145</v>
      </c>
      <c r="C4" s="71"/>
      <c r="D4" s="71"/>
      <c r="E4" s="71"/>
      <c r="F4" s="71"/>
      <c r="G4" s="26"/>
      <c r="L4" s="1">
        <v>2</v>
      </c>
    </row>
    <row r="5" spans="1:18" ht="28.5">
      <c r="A5" s="26"/>
      <c r="B5" s="32" t="s">
        <v>2</v>
      </c>
      <c r="C5" s="32" t="s">
        <v>3</v>
      </c>
      <c r="D5" s="32" t="s">
        <v>4</v>
      </c>
      <c r="E5" s="32" t="s">
        <v>5</v>
      </c>
      <c r="F5" s="32" t="s">
        <v>6</v>
      </c>
      <c r="G5" s="26"/>
      <c r="L5" s="1">
        <v>3</v>
      </c>
    </row>
    <row r="6" spans="1:18">
      <c r="B6" s="1">
        <v>1</v>
      </c>
      <c r="C6" s="1">
        <v>1</v>
      </c>
      <c r="D6" s="1" t="s">
        <v>1186</v>
      </c>
      <c r="E6" s="1">
        <v>3</v>
      </c>
      <c r="F6" s="1" t="s">
        <v>1</v>
      </c>
      <c r="I6" s="46"/>
      <c r="L6" s="1">
        <v>4</v>
      </c>
    </row>
    <row r="7" spans="1:18">
      <c r="B7" s="1">
        <v>54</v>
      </c>
      <c r="C7" s="1">
        <v>2</v>
      </c>
      <c r="D7" s="1" t="s">
        <v>1187</v>
      </c>
      <c r="E7" s="1">
        <v>1</v>
      </c>
      <c r="F7" s="1" t="s">
        <v>1147</v>
      </c>
      <c r="G7" s="37"/>
      <c r="H7" s="37"/>
      <c r="I7" s="37"/>
      <c r="J7" s="37"/>
      <c r="K7" s="37"/>
      <c r="L7" s="38">
        <v>5</v>
      </c>
      <c r="M7" s="37"/>
      <c r="N7" s="37"/>
      <c r="O7" s="37"/>
      <c r="P7" s="37"/>
      <c r="Q7" s="37"/>
      <c r="R7" s="37"/>
    </row>
    <row r="8" spans="1:18">
      <c r="B8" s="1">
        <v>3</v>
      </c>
      <c r="C8" s="1">
        <v>3</v>
      </c>
      <c r="D8" s="1" t="s">
        <v>1188</v>
      </c>
      <c r="E8" s="1">
        <v>2</v>
      </c>
      <c r="F8" s="1" t="s">
        <v>0</v>
      </c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</row>
    <row r="9" spans="1:18">
      <c r="B9" s="1">
        <v>4</v>
      </c>
      <c r="C9" s="1">
        <v>4</v>
      </c>
      <c r="D9" s="1" t="s">
        <v>1186</v>
      </c>
      <c r="E9" s="1">
        <v>1</v>
      </c>
      <c r="F9" s="1" t="s">
        <v>1</v>
      </c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</row>
    <row r="10" spans="1:18">
      <c r="B10" s="1">
        <v>5</v>
      </c>
      <c r="C10" s="1">
        <v>5</v>
      </c>
      <c r="D10" s="1" t="s">
        <v>1188</v>
      </c>
      <c r="E10" s="1">
        <v>2</v>
      </c>
      <c r="F10" s="1" t="s">
        <v>1147</v>
      </c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</row>
    <row r="11" spans="1:18">
      <c r="B11" s="1">
        <v>6</v>
      </c>
      <c r="C11" s="1">
        <v>1</v>
      </c>
      <c r="D11" s="1"/>
      <c r="E11" s="1"/>
      <c r="F11" s="1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</row>
    <row r="12" spans="1:18">
      <c r="B12" s="1">
        <v>7</v>
      </c>
      <c r="C12" s="1">
        <v>1</v>
      </c>
      <c r="D12" s="1"/>
      <c r="E12" s="1"/>
      <c r="F12" s="1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</row>
    <row r="13" spans="1:18">
      <c r="B13" s="1">
        <v>8</v>
      </c>
      <c r="C13" s="1">
        <v>2</v>
      </c>
      <c r="D13" s="1"/>
      <c r="E13" s="1"/>
      <c r="F13" s="1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</row>
    <row r="14" spans="1:18">
      <c r="B14" s="1">
        <v>9</v>
      </c>
      <c r="C14" s="1">
        <v>2</v>
      </c>
      <c r="D14" s="1"/>
      <c r="E14" s="1"/>
      <c r="F14" s="1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</row>
    <row r="15" spans="1:18">
      <c r="B15" s="1">
        <v>10</v>
      </c>
      <c r="C15" s="1">
        <v>2</v>
      </c>
      <c r="D15" s="1"/>
      <c r="E15" s="1"/>
      <c r="F15" s="1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</row>
    <row r="16" spans="1:18">
      <c r="B16" s="1">
        <v>11</v>
      </c>
      <c r="C16" s="1">
        <v>3</v>
      </c>
      <c r="D16" s="1"/>
      <c r="E16" s="1"/>
      <c r="F16" s="1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</row>
    <row r="17" spans="2:18">
      <c r="B17" s="1">
        <v>12</v>
      </c>
      <c r="C17" s="1">
        <v>3</v>
      </c>
      <c r="D17" s="1"/>
      <c r="E17" s="1"/>
      <c r="F17" s="1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</row>
    <row r="18" spans="2:18">
      <c r="B18" s="1">
        <v>13</v>
      </c>
      <c r="C18" s="1">
        <v>3</v>
      </c>
      <c r="D18" s="1"/>
      <c r="E18" s="1"/>
      <c r="F18" s="1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</row>
    <row r="19" spans="2:18">
      <c r="B19" s="1">
        <v>14</v>
      </c>
      <c r="C19" s="1">
        <v>4</v>
      </c>
      <c r="D19" s="1"/>
      <c r="E19" s="1"/>
      <c r="F19" s="1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</row>
    <row r="20" spans="2:18">
      <c r="B20" s="1">
        <v>15</v>
      </c>
      <c r="C20" s="1">
        <v>5</v>
      </c>
      <c r="D20" s="1"/>
      <c r="E20" s="1"/>
      <c r="F20" s="1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</row>
    <row r="21" spans="2:18">
      <c r="B21" s="1">
        <v>16</v>
      </c>
      <c r="C21" s="1">
        <v>4</v>
      </c>
      <c r="D21" s="1"/>
      <c r="E21" s="1"/>
      <c r="F21" s="1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</row>
    <row r="22" spans="2:18">
      <c r="B22" s="1">
        <v>17</v>
      </c>
      <c r="C22" s="1"/>
      <c r="D22" s="1"/>
      <c r="E22" s="1"/>
      <c r="F22" s="1"/>
      <c r="G22" s="37"/>
      <c r="H22" s="37"/>
      <c r="I22" s="37"/>
      <c r="J22" s="37"/>
      <c r="K22" s="37"/>
      <c r="L22" s="39"/>
      <c r="M22" s="40"/>
      <c r="N22" s="40"/>
      <c r="O22" s="40"/>
      <c r="P22" s="40"/>
      <c r="Q22" s="37"/>
      <c r="R22" s="37"/>
    </row>
    <row r="23" spans="2:18">
      <c r="B23" s="1">
        <v>18</v>
      </c>
      <c r="C23" s="1"/>
      <c r="D23" s="1"/>
      <c r="E23" s="1"/>
      <c r="F23" s="1"/>
      <c r="G23" s="37"/>
      <c r="H23" s="37"/>
      <c r="I23" s="37"/>
      <c r="J23" s="37"/>
      <c r="K23" s="37"/>
      <c r="L23" s="39"/>
      <c r="M23" s="40"/>
      <c r="N23" s="40"/>
      <c r="O23" s="40"/>
      <c r="P23" s="40"/>
      <c r="Q23" s="37"/>
      <c r="R23" s="37"/>
    </row>
    <row r="24" spans="2:18">
      <c r="B24" s="1">
        <v>19</v>
      </c>
      <c r="C24" s="1"/>
      <c r="D24" s="1"/>
      <c r="E24" s="1"/>
      <c r="F24" s="1"/>
      <c r="G24" s="37"/>
      <c r="H24" s="37"/>
      <c r="I24" s="37"/>
      <c r="J24" s="37"/>
      <c r="K24" s="37"/>
      <c r="L24" s="39"/>
      <c r="M24" s="40"/>
      <c r="N24" s="40"/>
      <c r="O24" s="40"/>
      <c r="P24" s="40"/>
      <c r="Q24" s="37"/>
      <c r="R24" s="37"/>
    </row>
    <row r="25" spans="2:18">
      <c r="B25" s="1">
        <v>20</v>
      </c>
      <c r="G25" s="37"/>
      <c r="H25" s="37"/>
      <c r="I25" s="37"/>
      <c r="J25" s="37"/>
      <c r="K25" s="37"/>
      <c r="L25" s="39"/>
      <c r="M25" s="40"/>
      <c r="N25" s="40"/>
      <c r="O25" s="40"/>
      <c r="P25" s="40"/>
      <c r="Q25" s="37"/>
      <c r="R25" s="37"/>
    </row>
    <row r="26" spans="2:18">
      <c r="B26" s="1">
        <v>21</v>
      </c>
      <c r="G26" s="37"/>
      <c r="H26" s="37"/>
      <c r="I26" s="37"/>
      <c r="J26" s="37"/>
      <c r="K26" s="37"/>
      <c r="L26" s="37"/>
      <c r="M26" s="37"/>
      <c r="N26" s="37"/>
      <c r="O26" s="40"/>
      <c r="P26" s="40"/>
      <c r="Q26" s="37"/>
      <c r="R26" s="37"/>
    </row>
    <row r="27" spans="2:18">
      <c r="B27" s="1">
        <v>22</v>
      </c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</row>
    <row r="28" spans="2:18">
      <c r="B28" s="1">
        <v>23</v>
      </c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</row>
    <row r="29" spans="2:18">
      <c r="B29" s="1">
        <v>24</v>
      </c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</row>
    <row r="30" spans="2:18">
      <c r="B30" s="1">
        <v>25</v>
      </c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</row>
    <row r="31" spans="2:18">
      <c r="B31" s="1">
        <v>26</v>
      </c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</row>
    <row r="32" spans="2:18">
      <c r="B32" s="1">
        <v>27</v>
      </c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</row>
    <row r="33" spans="2:18">
      <c r="B33" s="1">
        <v>28</v>
      </c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</row>
    <row r="34" spans="2:18">
      <c r="B34" s="1">
        <v>29</v>
      </c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</row>
    <row r="35" spans="2:18">
      <c r="B35" s="1">
        <v>30</v>
      </c>
    </row>
    <row r="36" spans="2:18">
      <c r="B36" s="1">
        <v>31</v>
      </c>
    </row>
    <row r="37" spans="2:18">
      <c r="B37" s="1">
        <v>32</v>
      </c>
    </row>
    <row r="38" spans="2:18">
      <c r="B38" s="1">
        <v>33</v>
      </c>
    </row>
    <row r="39" spans="2:18">
      <c r="B39" s="1">
        <v>34</v>
      </c>
    </row>
    <row r="40" spans="2:18">
      <c r="B40" s="1">
        <v>35</v>
      </c>
    </row>
  </sheetData>
  <mergeCells count="2">
    <mergeCell ref="B4:F4"/>
    <mergeCell ref="D1:D2"/>
  </mergeCells>
  <conditionalFormatting sqref="B6:F21 B15:B40">
    <cfRule type="expression" dxfId="0" priority="1">
      <formula>$C6=$M$3</formula>
    </cfRule>
  </conditionalFormatting>
  <dataValidations count="1">
    <dataValidation type="list" allowBlank="1" showInputMessage="1" showErrorMessage="1" sqref="M3">
      <formula1>$L$3:$L$7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6"/>
  <dimension ref="A4:J27"/>
  <sheetViews>
    <sheetView topLeftCell="A4" workbookViewId="0">
      <selection activeCell="L17" sqref="L17"/>
    </sheetView>
  </sheetViews>
  <sheetFormatPr baseColWidth="10" defaultRowHeight="15"/>
  <sheetData>
    <row r="4" spans="1:10">
      <c r="A4" s="27"/>
      <c r="B4" s="27"/>
      <c r="C4" s="27"/>
      <c r="D4" s="27"/>
      <c r="E4" s="27"/>
      <c r="F4" s="27"/>
      <c r="G4" s="27"/>
      <c r="H4" s="27"/>
      <c r="I4" s="27"/>
      <c r="J4" s="27"/>
    </row>
    <row r="5" spans="1:10">
      <c r="A5" s="27"/>
      <c r="B5" s="27"/>
      <c r="C5" s="27"/>
      <c r="D5" s="27"/>
      <c r="E5" s="27"/>
      <c r="F5" s="27"/>
      <c r="G5" s="27"/>
      <c r="H5" s="27"/>
      <c r="I5" s="27"/>
      <c r="J5" s="27"/>
    </row>
    <row r="6" spans="1:10">
      <c r="A6" s="27"/>
      <c r="B6" s="27"/>
      <c r="C6" s="27"/>
      <c r="D6" s="27"/>
      <c r="E6" s="27"/>
      <c r="F6" s="27"/>
      <c r="G6" s="27"/>
      <c r="H6" s="27"/>
      <c r="I6" s="27"/>
      <c r="J6" s="27"/>
    </row>
    <row r="7" spans="1:10">
      <c r="A7" s="27"/>
      <c r="B7" s="27"/>
      <c r="C7" s="27"/>
      <c r="D7" s="27"/>
      <c r="E7" s="27"/>
      <c r="F7" s="27"/>
      <c r="G7" s="27"/>
      <c r="H7" s="27"/>
      <c r="I7" s="27"/>
      <c r="J7" s="27"/>
    </row>
    <row r="8" spans="1:10">
      <c r="A8" s="27"/>
      <c r="B8" s="27"/>
      <c r="C8" s="27"/>
      <c r="D8" s="27"/>
      <c r="E8" s="27"/>
      <c r="F8" s="27"/>
      <c r="G8" s="27"/>
      <c r="H8" s="27"/>
      <c r="I8" s="27"/>
      <c r="J8" s="27"/>
    </row>
    <row r="9" spans="1:10">
      <c r="A9" s="27"/>
      <c r="B9" s="27"/>
      <c r="C9" s="27"/>
      <c r="D9" s="27"/>
      <c r="E9" s="27"/>
      <c r="F9" s="27"/>
      <c r="G9" s="27"/>
      <c r="H9" s="27"/>
      <c r="I9" s="27"/>
      <c r="J9" s="27"/>
    </row>
    <row r="10" spans="1:10">
      <c r="A10" s="27"/>
      <c r="B10" s="27"/>
      <c r="C10" s="27"/>
      <c r="D10" s="27"/>
      <c r="E10" s="27"/>
      <c r="F10" s="27"/>
      <c r="G10" s="27"/>
      <c r="H10" s="27"/>
      <c r="I10" s="27"/>
      <c r="J10" s="27"/>
    </row>
    <row r="11" spans="1:10">
      <c r="A11" s="27"/>
      <c r="B11" s="27"/>
      <c r="C11" s="27"/>
      <c r="D11" s="27"/>
      <c r="E11" s="27"/>
      <c r="F11" s="27"/>
      <c r="G11" s="27"/>
      <c r="H11" s="27"/>
      <c r="I11" s="27"/>
      <c r="J11" s="27"/>
    </row>
    <row r="12" spans="1:10">
      <c r="A12" s="27"/>
      <c r="B12" s="27"/>
      <c r="C12" s="27"/>
      <c r="D12" s="27"/>
      <c r="E12" s="27"/>
      <c r="F12" s="27"/>
      <c r="G12" s="27"/>
      <c r="H12" s="27"/>
      <c r="I12" s="27"/>
      <c r="J12" s="27"/>
    </row>
    <row r="13" spans="1:10">
      <c r="A13" s="27"/>
      <c r="B13" s="27"/>
      <c r="C13" s="27"/>
      <c r="D13" s="27"/>
      <c r="E13" s="27"/>
      <c r="F13" s="27"/>
      <c r="G13" s="27"/>
      <c r="H13" s="27"/>
      <c r="I13" s="27"/>
      <c r="J13" s="27"/>
    </row>
    <row r="14" spans="1:10">
      <c r="A14" s="27"/>
      <c r="B14" s="27"/>
      <c r="C14" s="27"/>
      <c r="D14" s="27"/>
      <c r="E14" s="27"/>
      <c r="F14" s="27"/>
      <c r="G14" s="27"/>
      <c r="H14" s="27"/>
      <c r="I14" s="27"/>
      <c r="J14" s="27"/>
    </row>
    <row r="15" spans="1:10">
      <c r="A15" s="27"/>
      <c r="B15" s="27"/>
      <c r="C15" s="27"/>
      <c r="D15" s="27"/>
      <c r="E15" s="27"/>
      <c r="F15" s="27"/>
      <c r="G15" s="27"/>
      <c r="H15" s="27"/>
      <c r="I15" s="27"/>
      <c r="J15" s="27"/>
    </row>
    <row r="16" spans="1:10">
      <c r="A16" s="27"/>
      <c r="B16" s="27"/>
      <c r="C16" s="27"/>
      <c r="D16" s="27"/>
      <c r="E16" s="27"/>
      <c r="F16" s="27"/>
      <c r="G16" s="27"/>
      <c r="H16" s="27"/>
      <c r="I16" s="27"/>
      <c r="J16" s="27"/>
    </row>
    <row r="17" spans="1:10">
      <c r="A17" s="27"/>
      <c r="B17" s="27"/>
      <c r="C17" s="27"/>
      <c r="D17" s="27"/>
      <c r="E17" s="27"/>
      <c r="F17" s="27"/>
      <c r="G17" s="27"/>
      <c r="H17" s="27"/>
      <c r="I17" s="27"/>
      <c r="J17" s="27"/>
    </row>
    <row r="18" spans="1:10">
      <c r="A18" s="27"/>
      <c r="B18" s="27"/>
      <c r="C18" s="27"/>
      <c r="D18" s="27"/>
      <c r="E18" s="27"/>
      <c r="F18" s="27"/>
      <c r="G18" s="27"/>
      <c r="H18" s="27"/>
      <c r="I18" s="27"/>
      <c r="J18" s="27"/>
    </row>
    <row r="19" spans="1:10">
      <c r="A19" s="27"/>
      <c r="B19" s="27"/>
      <c r="C19" s="27"/>
      <c r="D19" s="27"/>
      <c r="E19" s="27"/>
      <c r="F19" s="27"/>
      <c r="G19" s="27"/>
      <c r="H19" s="27"/>
      <c r="I19" s="27"/>
      <c r="J19" s="27"/>
    </row>
    <row r="20" spans="1:10">
      <c r="A20" s="27"/>
      <c r="B20" s="27"/>
      <c r="C20" s="27"/>
      <c r="D20" s="27"/>
      <c r="E20" s="27"/>
      <c r="F20" s="27"/>
      <c r="G20" s="27"/>
      <c r="H20" s="27"/>
      <c r="I20" s="27"/>
      <c r="J20" s="27"/>
    </row>
    <row r="21" spans="1:10">
      <c r="A21" s="27"/>
      <c r="B21" s="27"/>
      <c r="C21" s="27"/>
      <c r="D21" s="27"/>
      <c r="E21" s="27"/>
      <c r="F21" s="27"/>
      <c r="G21" s="27"/>
      <c r="H21" s="27"/>
      <c r="I21" s="27"/>
      <c r="J21" s="27"/>
    </row>
    <row r="22" spans="1:10">
      <c r="A22" s="27"/>
      <c r="B22" s="27"/>
      <c r="C22" s="27"/>
      <c r="D22" s="27"/>
      <c r="E22" s="27"/>
      <c r="F22" s="27"/>
      <c r="G22" s="27"/>
      <c r="H22" s="27"/>
      <c r="I22" s="27"/>
      <c r="J22" s="27"/>
    </row>
    <row r="23" spans="1:10">
      <c r="A23" s="27"/>
      <c r="B23" s="27"/>
      <c r="C23" s="27"/>
      <c r="D23" s="27"/>
      <c r="E23" s="27"/>
      <c r="F23" s="27"/>
      <c r="G23" s="27"/>
      <c r="H23" s="27"/>
      <c r="I23" s="27"/>
      <c r="J23" s="27"/>
    </row>
    <row r="24" spans="1:10">
      <c r="A24" s="27"/>
      <c r="B24" s="27"/>
      <c r="C24" s="27"/>
      <c r="D24" s="27"/>
      <c r="E24" s="27"/>
      <c r="F24" s="27"/>
      <c r="G24" s="27"/>
      <c r="H24" s="27"/>
      <c r="I24" s="27"/>
      <c r="J24" s="27"/>
    </row>
    <row r="25" spans="1:10">
      <c r="A25" s="27"/>
      <c r="B25" s="27"/>
      <c r="C25" s="27"/>
      <c r="D25" s="27"/>
      <c r="E25" s="27"/>
      <c r="F25" s="27"/>
      <c r="G25" s="27"/>
      <c r="H25" s="27"/>
      <c r="I25" s="27"/>
      <c r="J25" s="27"/>
    </row>
    <row r="26" spans="1:10">
      <c r="A26" s="27"/>
      <c r="B26" s="27"/>
      <c r="C26" s="27"/>
      <c r="D26" s="27"/>
      <c r="E26" s="27"/>
      <c r="F26" s="27"/>
      <c r="G26" s="27"/>
      <c r="H26" s="27"/>
      <c r="I26" s="27"/>
      <c r="J26" s="27"/>
    </row>
    <row r="27" spans="1:10">
      <c r="A27" s="27"/>
      <c r="B27" s="27"/>
      <c r="C27" s="27"/>
      <c r="D27" s="27"/>
      <c r="E27" s="27"/>
      <c r="F27" s="27"/>
      <c r="G27" s="27"/>
      <c r="H27" s="27"/>
      <c r="I27" s="27"/>
      <c r="J27" s="27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TOTAL</vt:lpstr>
      <vt:lpstr>C1</vt:lpstr>
      <vt:lpstr>C2</vt:lpstr>
      <vt:lpstr>C3</vt:lpstr>
      <vt:lpstr>Dibujo 1</vt:lpstr>
      <vt:lpstr>Dibujo 2</vt:lpstr>
      <vt:lpstr>Dibujo 3</vt:lpstr>
      <vt:lpstr>Dibujo 4 </vt:lpstr>
      <vt:lpstr>Pallet</vt:lpstr>
      <vt:lpstr>MENU</vt:lpstr>
      <vt:lpstr>'C1'!Área_de_extracción</vt:lpstr>
      <vt:lpstr>'C2'!Área_de_extracción</vt:lpstr>
      <vt:lpstr>'C3'!Área_de_extracción</vt:lpstr>
      <vt:lpstr>'Dibujo 1'!Área_de_impresión</vt:lpstr>
      <vt:lpstr>'Dibujo 3'!Área_de_impresión</vt:lpstr>
      <vt:lpstr>'C1'!Criterios</vt:lpstr>
      <vt:lpstr>'C2'!Criterios</vt:lpstr>
      <vt:lpstr>'C3'!Criterios</vt:lpstr>
      <vt:lpstr>Pallet!Criterios</vt:lpstr>
      <vt:lpstr>TOTAL!Criterios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recepcion</dc:creator>
  <cp:lastModifiedBy>recepcion</cp:lastModifiedBy>
  <cp:lastPrinted>2015-10-03T16:13:43Z</cp:lastPrinted>
  <dcterms:created xsi:type="dcterms:W3CDTF">2015-09-02T17:13:22Z</dcterms:created>
  <dcterms:modified xsi:type="dcterms:W3CDTF">2016-06-14T15:13:20Z</dcterms:modified>
</cp:coreProperties>
</file>